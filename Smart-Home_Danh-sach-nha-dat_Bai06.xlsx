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E:\HCM_KS26_CNTT2\IT_108\session_12\"/>
    </mc:Choice>
  </mc:AlternateContent>
  <xr:revisionPtr revIDLastSave="0" documentId="8_{490B7C13-A1CE-4957-ADF3-48D8728E7ACC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Danh sách nhà đất" sheetId="1" r:id="rId1"/>
    <sheet name="Bảng tra môi giới" sheetId="2" r:id="rId2"/>
    <sheet name="Tham số" sheetId="3" r:id="rId3"/>
    <sheet name="Tổng hợp" sheetId="4" r:id="rId4"/>
  </sheets>
  <definedNames>
    <definedName name="_xlnm._FilterDatabase" localSheetId="0" hidden="1">'Danh sách nhà đất'!$A$1:$L$31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2" i="4" l="1"/>
  <c r="A11" i="4"/>
  <c r="A10" i="4"/>
  <c r="A9" i="4"/>
  <c r="B3" i="4"/>
  <c r="B2" i="4"/>
  <c r="J31" i="1"/>
  <c r="I31" i="1"/>
  <c r="G31" i="1"/>
  <c r="J30" i="1"/>
  <c r="I30" i="1"/>
  <c r="G30" i="1"/>
  <c r="J29" i="1"/>
  <c r="I29" i="1"/>
  <c r="G29" i="1"/>
  <c r="L28" i="1"/>
  <c r="J28" i="1"/>
  <c r="I28" i="1"/>
  <c r="G28" i="1"/>
  <c r="K28" i="1" s="1"/>
  <c r="J27" i="1"/>
  <c r="I27" i="1"/>
  <c r="G27" i="1"/>
  <c r="L26" i="1"/>
  <c r="K26" i="1"/>
  <c r="J26" i="1"/>
  <c r="I26" i="1"/>
  <c r="G26" i="1"/>
  <c r="J25" i="1"/>
  <c r="I25" i="1"/>
  <c r="G25" i="1"/>
  <c r="J24" i="1"/>
  <c r="I24" i="1"/>
  <c r="G24" i="1"/>
  <c r="J23" i="1"/>
  <c r="I23" i="1"/>
  <c r="G23" i="1"/>
  <c r="L22" i="1"/>
  <c r="K22" i="1"/>
  <c r="J22" i="1"/>
  <c r="I22" i="1"/>
  <c r="G22" i="1"/>
  <c r="J21" i="1"/>
  <c r="I21" i="1"/>
  <c r="G21" i="1"/>
  <c r="J20" i="1"/>
  <c r="I20" i="1"/>
  <c r="G20" i="1"/>
  <c r="J19" i="1"/>
  <c r="I19" i="1"/>
  <c r="G19" i="1"/>
  <c r="J18" i="1"/>
  <c r="I18" i="1"/>
  <c r="G18" i="1"/>
  <c r="J17" i="1"/>
  <c r="I17" i="1"/>
  <c r="G17" i="1"/>
  <c r="J16" i="1"/>
  <c r="I16" i="1"/>
  <c r="G16" i="1"/>
  <c r="J15" i="1"/>
  <c r="I15" i="1"/>
  <c r="G15" i="1"/>
  <c r="J14" i="1"/>
  <c r="I14" i="1"/>
  <c r="G14" i="1"/>
  <c r="J13" i="1"/>
  <c r="I13" i="1"/>
  <c r="G13" i="1"/>
  <c r="J12" i="1"/>
  <c r="I12" i="1"/>
  <c r="G12" i="1"/>
  <c r="J11" i="1"/>
  <c r="I11" i="1"/>
  <c r="G11" i="1"/>
  <c r="J10" i="1"/>
  <c r="I10" i="1"/>
  <c r="G10" i="1"/>
  <c r="J9" i="1"/>
  <c r="I9" i="1"/>
  <c r="G9" i="1"/>
  <c r="L8" i="1"/>
  <c r="J8" i="1"/>
  <c r="K8" i="1" s="1"/>
  <c r="I8" i="1"/>
  <c r="G8" i="1"/>
  <c r="J7" i="1"/>
  <c r="I7" i="1"/>
  <c r="G7" i="1"/>
  <c r="J6" i="1"/>
  <c r="I6" i="1"/>
  <c r="G6" i="1"/>
  <c r="J5" i="1"/>
  <c r="I5" i="1"/>
  <c r="G5" i="1"/>
  <c r="J4" i="1"/>
  <c r="I4" i="1"/>
  <c r="G4" i="1"/>
  <c r="J3" i="1"/>
  <c r="I3" i="1"/>
  <c r="G3" i="1"/>
  <c r="J2" i="1"/>
  <c r="I2" i="1"/>
  <c r="G2" i="1"/>
  <c r="K31" i="1" l="1"/>
  <c r="L31" i="1"/>
  <c r="K30" i="1"/>
  <c r="L30" i="1"/>
  <c r="K29" i="1"/>
  <c r="B4" i="4"/>
  <c r="L29" i="1"/>
  <c r="L27" i="1"/>
  <c r="K27" i="1"/>
  <c r="L25" i="1"/>
  <c r="K25" i="1"/>
  <c r="L24" i="1"/>
  <c r="K24" i="1"/>
  <c r="L23" i="1"/>
  <c r="K23" i="1"/>
  <c r="L21" i="1"/>
  <c r="K21" i="1"/>
  <c r="L20" i="1"/>
  <c r="K20" i="1"/>
  <c r="L19" i="1"/>
  <c r="K19" i="1"/>
  <c r="L18" i="1"/>
  <c r="K18" i="1"/>
  <c r="L17" i="1"/>
  <c r="K17" i="1"/>
  <c r="L16" i="1"/>
  <c r="K16" i="1"/>
  <c r="K15" i="1"/>
  <c r="L15" i="1"/>
  <c r="K14" i="1"/>
  <c r="L14" i="1"/>
  <c r="L13" i="1"/>
  <c r="K13" i="1"/>
  <c r="L12" i="1"/>
  <c r="K12" i="1"/>
  <c r="L11" i="1"/>
  <c r="K11" i="1"/>
  <c r="L10" i="1"/>
  <c r="K10" i="1"/>
  <c r="L9" i="1"/>
  <c r="K9" i="1"/>
  <c r="L7" i="1"/>
  <c r="K7" i="1"/>
  <c r="K6" i="1"/>
  <c r="L6" i="1"/>
  <c r="K5" i="1"/>
  <c r="L5" i="1"/>
  <c r="L4" i="1"/>
  <c r="K4" i="1"/>
  <c r="L3" i="1"/>
  <c r="K3" i="1"/>
  <c r="L2" i="1"/>
  <c r="K2" i="1"/>
  <c r="B5" i="4" l="1"/>
  <c r="B6" i="4" s="1"/>
  <c r="B9" i="4"/>
  <c r="B10" i="4"/>
  <c r="B11" i="4"/>
  <c r="B12" i="4"/>
  <c r="B13" i="4" l="1"/>
</calcChain>
</file>

<file path=xl/sharedStrings.xml><?xml version="1.0" encoding="utf-8"?>
<sst xmlns="http://schemas.openxmlformats.org/spreadsheetml/2006/main" count="189" uniqueCount="99">
  <si>
    <t>Mã BĐS</t>
  </si>
  <si>
    <t>Tên BĐS</t>
  </si>
  <si>
    <t>Loại BĐS</t>
  </si>
  <si>
    <t>Hình thức</t>
  </si>
  <si>
    <t>Giá niêm yết (VND)</t>
  </si>
  <si>
    <t>Tỷ lệ chiết khấu</t>
  </si>
  <si>
    <t>Giá sau chiết khấu (VND)</t>
  </si>
  <si>
    <t>Mã MG</t>
  </si>
  <si>
    <t>Môi giới</t>
  </si>
  <si>
    <t>Tỷ lệ hoa hồng</t>
  </si>
  <si>
    <t>Hoa hồng (VND)</t>
  </si>
  <si>
    <t>Giá thuê ước tính mỗi tháng (VND)</t>
  </si>
  <si>
    <t>SH001</t>
  </si>
  <si>
    <t>Ocean View Villa</t>
  </si>
  <si>
    <t>Biệt thự</t>
  </si>
  <si>
    <t>Đấu giá bán</t>
  </si>
  <si>
    <t>MG01</t>
  </si>
  <si>
    <t>SH002</t>
  </si>
  <si>
    <t>Skyline Apartment</t>
  </si>
  <si>
    <t>Căn hộ</t>
  </si>
  <si>
    <t>Cho thuê</t>
  </si>
  <si>
    <t>MG03</t>
  </si>
  <si>
    <t>SH003</t>
  </si>
  <si>
    <t>Central House</t>
  </si>
  <si>
    <t>Nhà phố</t>
  </si>
  <si>
    <t>SH004</t>
  </si>
  <si>
    <t>Lô đất Thanh Xuân</t>
  </si>
  <si>
    <t>Đất nền</t>
  </si>
  <si>
    <t>MG02</t>
  </si>
  <si>
    <t>SH005</t>
  </si>
  <si>
    <t>Lô đất Đại Phước</t>
  </si>
  <si>
    <t>SH006</t>
  </si>
  <si>
    <t>Park View Apartment</t>
  </si>
  <si>
    <t>MG04</t>
  </si>
  <si>
    <t>SH007</t>
  </si>
  <si>
    <t>Pine House</t>
  </si>
  <si>
    <t>SH008</t>
  </si>
  <si>
    <t>Hillside Villa</t>
  </si>
  <si>
    <t>SH009</t>
  </si>
  <si>
    <t>Lô đất Eco Park</t>
  </si>
  <si>
    <t>SH010</t>
  </si>
  <si>
    <t>Central Apartment</t>
  </si>
  <si>
    <t>SH011</t>
  </si>
  <si>
    <t>City Light Apartment</t>
  </si>
  <si>
    <t>SH012</t>
  </si>
  <si>
    <t>Maple House</t>
  </si>
  <si>
    <t>SH013</t>
  </si>
  <si>
    <t>Lô đất Tân Phát</t>
  </si>
  <si>
    <t>SH014</t>
  </si>
  <si>
    <t>Sunset Villa</t>
  </si>
  <si>
    <t>SH015</t>
  </si>
  <si>
    <t>Lô đất Bình An</t>
  </si>
  <si>
    <t>SH016</t>
  </si>
  <si>
    <t>Lô đất Hải Đăng</t>
  </si>
  <si>
    <t>SH017</t>
  </si>
  <si>
    <t>Lô đất Hoa Sen</t>
  </si>
  <si>
    <t>SH018</t>
  </si>
  <si>
    <t>Lakeside Villa</t>
  </si>
  <si>
    <t>SH019</t>
  </si>
  <si>
    <t>Lô đất An Khang</t>
  </si>
  <si>
    <t>SH020</t>
  </si>
  <si>
    <t>Corner House</t>
  </si>
  <si>
    <t>SH021</t>
  </si>
  <si>
    <t>Sky Garden House</t>
  </si>
  <si>
    <t>SH022</t>
  </si>
  <si>
    <t>Green Park House</t>
  </si>
  <si>
    <t>SH023</t>
  </si>
  <si>
    <t>Sunrise Apartment</t>
  </si>
  <si>
    <t>SH024</t>
  </si>
  <si>
    <t>Villa Riverside</t>
  </si>
  <si>
    <t>SH025</t>
  </si>
  <si>
    <t>Riverside Apartment</t>
  </si>
  <si>
    <t>SH026</t>
  </si>
  <si>
    <t>Lô đất Phú Lộc</t>
  </si>
  <si>
    <t>SH027</t>
  </si>
  <si>
    <t>Garden Villa</t>
  </si>
  <si>
    <t>SH028</t>
  </si>
  <si>
    <t>Lotus House</t>
  </si>
  <si>
    <t>SH029</t>
  </si>
  <si>
    <t>Green Bay Apartment</t>
  </si>
  <si>
    <t>SH030</t>
  </si>
  <si>
    <t>Lô đất Xanh</t>
  </si>
  <si>
    <t>Nguyễn An</t>
  </si>
  <si>
    <t>Trần Minh</t>
  </si>
  <si>
    <t>Lê Hằng</t>
  </si>
  <si>
    <t>Phạm Nam</t>
  </si>
  <si>
    <t>Tham số</t>
  </si>
  <si>
    <t>Giá trị</t>
  </si>
  <si>
    <t>Ghi chú</t>
  </si>
  <si>
    <t>Tỷ suất cho thuê mỗi tháng</t>
  </si>
  <si>
    <t>Giả định của bài tập: giá thuê tháng bằng 0,5% giá sau chiết khấu</t>
  </si>
  <si>
    <t>Chỉ tiêu</t>
  </si>
  <si>
    <t>Số bất động sản</t>
  </si>
  <si>
    <t>Tổng giá niêm yết (VND)</t>
  </si>
  <si>
    <t>Tổng giá sau chiết khấu (VND)</t>
  </si>
  <si>
    <t>Tổng hoa hồng (VND)</t>
  </si>
  <si>
    <t>Hoa hồng bình quân trên giá sau chiết khấu</t>
  </si>
  <si>
    <t>Tổng</t>
  </si>
  <si>
    <t>Ghi chú: danh sách nhà đất là dữ liệu mẫu tạo ngẫu nhiên cho bài tập. Chữ xanh là ô nhập liệu, chữ đen là công thức.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</si>
</sst>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E8E4A"/>
        <bgColor rgb="FF00808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D8C8"/>
      </left>
      <right style="thin">
        <color rgb="FFBFD8C8"/>
      </right>
      <top style="thin">
        <color rgb="FFBFD8C8"/>
      </top>
      <bottom style="thin">
        <color rgb="FFBFD8C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3" fontId="3" fillId="0" borderId="1" xfId="0" applyNumberFormat="1" applyFont="1" applyBorder="1"/>
    <xf numFmtId="164" fontId="3" fillId="0" borderId="1" xfId="0" applyNumberFormat="1" applyFont="1" applyBorder="1" applyAlignment="1">
      <alignment horizontal="center"/>
    </xf>
    <xf numFmtId="3" fontId="2" fillId="0" borderId="1" xfId="0" applyNumberFormat="1" applyFont="1" applyBorder="1"/>
    <xf numFmtId="0" fontId="3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0" fontId="4" fillId="0" borderId="0" xfId="0" applyFont="1"/>
    <xf numFmtId="164" fontId="3" fillId="3" borderId="0" xfId="0" applyNumberFormat="1" applyFont="1" applyFill="1"/>
    <xf numFmtId="3" fontId="4" fillId="0" borderId="0" xfId="0" applyNumberFormat="1" applyFont="1"/>
    <xf numFmtId="10" fontId="4" fillId="0" borderId="0" xfId="0" applyNumberFormat="1" applyFont="1"/>
    <xf numFmtId="0" fontId="5" fillId="0" borderId="0" xfId="0" applyFont="1"/>
    <xf numFmtId="3" fontId="5" fillId="0" borderId="0" xfId="0" applyNumberFormat="1" applyFont="1"/>
  </cellXfs>
  <cellStyles count="1">
    <cellStyle name="Bình thường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D8C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E8E4A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9" customWidth="1"/>
    <col min="2" max="2" width="22" customWidth="1"/>
    <col min="3" max="3" width="11" customWidth="1"/>
    <col min="4" max="4" width="13" customWidth="1"/>
    <col min="5" max="5" width="19" customWidth="1"/>
    <col min="6" max="6" width="12" customWidth="1"/>
    <col min="7" max="7" width="20" customWidth="1"/>
    <col min="8" max="8" width="8" customWidth="1"/>
    <col min="9" max="9" width="13" customWidth="1"/>
    <col min="10" max="10" width="11" customWidth="1"/>
    <col min="11" max="11" width="17" customWidth="1"/>
    <col min="12" max="12" width="22" customWidth="1"/>
  </cols>
  <sheetData>
    <row r="1" spans="1:12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3" t="s">
        <v>13</v>
      </c>
      <c r="C2" s="3" t="s">
        <v>14</v>
      </c>
      <c r="D2" s="2" t="s">
        <v>15</v>
      </c>
      <c r="E2" s="4">
        <v>16350000000</v>
      </c>
      <c r="F2" s="5">
        <v>0.02</v>
      </c>
      <c r="G2" s="6">
        <f t="shared" ref="G2:G31" si="0">E2*(1-F2)</f>
        <v>16023000000</v>
      </c>
      <c r="H2" s="7" t="s">
        <v>16</v>
      </c>
      <c r="I2" s="3" t="str">
        <f>VLOOKUP(H2,'Bảng tra môi giới'!$A$2:$C$5,2,FALSE())</f>
        <v>Nguyễn An</v>
      </c>
      <c r="J2" s="8">
        <f>VLOOKUP(H2,'Bảng tra môi giới'!$A$2:$C$5,3,FALSE())</f>
        <v>0.02</v>
      </c>
      <c r="K2" s="6">
        <f t="shared" ref="K2:K31" si="1">G2*J2</f>
        <v>320460000</v>
      </c>
      <c r="L2" s="6">
        <f>G2*'Tham số'!$B$2</f>
        <v>80115000</v>
      </c>
    </row>
    <row r="3" spans="1:12" x14ac:dyDescent="0.3">
      <c r="A3" s="2" t="s">
        <v>17</v>
      </c>
      <c r="B3" s="3" t="s">
        <v>18</v>
      </c>
      <c r="C3" s="3" t="s">
        <v>19</v>
      </c>
      <c r="D3" s="2" t="s">
        <v>20</v>
      </c>
      <c r="E3" s="4">
        <v>3950000000</v>
      </c>
      <c r="F3" s="5">
        <v>0</v>
      </c>
      <c r="G3" s="6">
        <f t="shared" si="0"/>
        <v>3950000000</v>
      </c>
      <c r="H3" s="7" t="s">
        <v>21</v>
      </c>
      <c r="I3" s="3" t="str">
        <f>VLOOKUP(H3,'Bảng tra môi giới'!$A$2:$C$5,2,FALSE())</f>
        <v>Lê Hằng</v>
      </c>
      <c r="J3" s="8">
        <f>VLOOKUP(H3,'Bảng tra môi giới'!$A$2:$C$5,3,FALSE())</f>
        <v>1.7999999999999999E-2</v>
      </c>
      <c r="K3" s="6">
        <f t="shared" si="1"/>
        <v>71100000</v>
      </c>
      <c r="L3" s="6">
        <f>G3*'Tham số'!$B$2</f>
        <v>19750000</v>
      </c>
    </row>
    <row r="4" spans="1:12" x14ac:dyDescent="0.3">
      <c r="A4" s="2" t="s">
        <v>22</v>
      </c>
      <c r="B4" s="3" t="s">
        <v>23</v>
      </c>
      <c r="C4" s="3" t="s">
        <v>24</v>
      </c>
      <c r="D4" s="2" t="s">
        <v>20</v>
      </c>
      <c r="E4" s="4">
        <v>6300000000</v>
      </c>
      <c r="F4" s="5">
        <v>0.02</v>
      </c>
      <c r="G4" s="6">
        <f t="shared" si="0"/>
        <v>6174000000</v>
      </c>
      <c r="H4" s="7" t="s">
        <v>21</v>
      </c>
      <c r="I4" s="3" t="str">
        <f>VLOOKUP(H4,'Bảng tra môi giới'!$A$2:$C$5,2,FALSE())</f>
        <v>Lê Hằng</v>
      </c>
      <c r="J4" s="8">
        <f>VLOOKUP(H4,'Bảng tra môi giới'!$A$2:$C$5,3,FALSE())</f>
        <v>1.7999999999999999E-2</v>
      </c>
      <c r="K4" s="6">
        <f t="shared" si="1"/>
        <v>111131999.99999999</v>
      </c>
      <c r="L4" s="6">
        <f>G4*'Tham số'!$B$2</f>
        <v>30870000</v>
      </c>
    </row>
    <row r="5" spans="1:12" x14ac:dyDescent="0.3">
      <c r="A5" s="2" t="s">
        <v>25</v>
      </c>
      <c r="B5" s="3" t="s">
        <v>26</v>
      </c>
      <c r="C5" s="3" t="s">
        <v>27</v>
      </c>
      <c r="D5" s="2" t="s">
        <v>15</v>
      </c>
      <c r="E5" s="4">
        <v>3500000000</v>
      </c>
      <c r="F5" s="5">
        <v>0</v>
      </c>
      <c r="G5" s="6">
        <f t="shared" si="0"/>
        <v>3500000000</v>
      </c>
      <c r="H5" s="7" t="s">
        <v>28</v>
      </c>
      <c r="I5" s="3" t="str">
        <f>VLOOKUP(H5,'Bảng tra môi giới'!$A$2:$C$5,2,FALSE())</f>
        <v>Trần Minh</v>
      </c>
      <c r="J5" s="8">
        <f>VLOOKUP(H5,'Bảng tra môi giới'!$A$2:$C$5,3,FALSE())</f>
        <v>1.4999999999999999E-2</v>
      </c>
      <c r="K5" s="6">
        <f t="shared" si="1"/>
        <v>52500000</v>
      </c>
      <c r="L5" s="6">
        <f>G5*'Tham số'!$B$2</f>
        <v>17500000</v>
      </c>
    </row>
    <row r="6" spans="1:12" x14ac:dyDescent="0.3">
      <c r="A6" s="2" t="s">
        <v>29</v>
      </c>
      <c r="B6" s="3" t="s">
        <v>30</v>
      </c>
      <c r="C6" s="3" t="s">
        <v>27</v>
      </c>
      <c r="D6" s="2" t="s">
        <v>20</v>
      </c>
      <c r="E6" s="4">
        <v>2650000000</v>
      </c>
      <c r="F6" s="5">
        <v>0.01</v>
      </c>
      <c r="G6" s="6">
        <f t="shared" si="0"/>
        <v>2623500000</v>
      </c>
      <c r="H6" s="7" t="s">
        <v>28</v>
      </c>
      <c r="I6" s="3" t="str">
        <f>VLOOKUP(H6,'Bảng tra môi giới'!$A$2:$C$5,2,FALSE())</f>
        <v>Trần Minh</v>
      </c>
      <c r="J6" s="8">
        <f>VLOOKUP(H6,'Bảng tra môi giới'!$A$2:$C$5,3,FALSE())</f>
        <v>1.4999999999999999E-2</v>
      </c>
      <c r="K6" s="6">
        <f t="shared" si="1"/>
        <v>39352500</v>
      </c>
      <c r="L6" s="6">
        <f>G6*'Tham số'!$B$2</f>
        <v>13117500</v>
      </c>
    </row>
    <row r="7" spans="1:12" x14ac:dyDescent="0.3">
      <c r="A7" s="2" t="s">
        <v>31</v>
      </c>
      <c r="B7" s="3" t="s">
        <v>32</v>
      </c>
      <c r="C7" s="3" t="s">
        <v>19</v>
      </c>
      <c r="D7" s="2" t="s">
        <v>15</v>
      </c>
      <c r="E7" s="4">
        <v>3650000000</v>
      </c>
      <c r="F7" s="5">
        <v>0.05</v>
      </c>
      <c r="G7" s="6">
        <f t="shared" si="0"/>
        <v>3467500000</v>
      </c>
      <c r="H7" s="7" t="s">
        <v>33</v>
      </c>
      <c r="I7" s="3" t="str">
        <f>VLOOKUP(H7,'Bảng tra môi giới'!$A$2:$C$5,2,FALSE())</f>
        <v>Phạm Nam</v>
      </c>
      <c r="J7" s="8">
        <f>VLOOKUP(H7,'Bảng tra môi giới'!$A$2:$C$5,3,FALSE())</f>
        <v>1.6E-2</v>
      </c>
      <c r="K7" s="6">
        <f t="shared" si="1"/>
        <v>55480000</v>
      </c>
      <c r="L7" s="6">
        <f>G7*'Tham số'!$B$2</f>
        <v>17337500</v>
      </c>
    </row>
    <row r="8" spans="1:12" x14ac:dyDescent="0.3">
      <c r="A8" s="2" t="s">
        <v>34</v>
      </c>
      <c r="B8" s="3" t="s">
        <v>35</v>
      </c>
      <c r="C8" s="3" t="s">
        <v>24</v>
      </c>
      <c r="D8" s="2" t="s">
        <v>15</v>
      </c>
      <c r="E8" s="4">
        <v>6850000000</v>
      </c>
      <c r="F8" s="5">
        <v>0.03</v>
      </c>
      <c r="G8" s="6">
        <f t="shared" si="0"/>
        <v>6644500000</v>
      </c>
      <c r="H8" s="7" t="s">
        <v>21</v>
      </c>
      <c r="I8" s="3" t="str">
        <f>VLOOKUP(H8,'Bảng tra môi giới'!$A$2:$C$5,2,FALSE())</f>
        <v>Lê Hằng</v>
      </c>
      <c r="J8" s="8">
        <f>VLOOKUP(H8,'Bảng tra môi giới'!$A$2:$C$5,3,FALSE())</f>
        <v>1.7999999999999999E-2</v>
      </c>
      <c r="K8" s="6">
        <f t="shared" si="1"/>
        <v>119600999.99999999</v>
      </c>
      <c r="L8" s="6">
        <f>G8*'Tham số'!$B$2</f>
        <v>33222500</v>
      </c>
    </row>
    <row r="9" spans="1:12" x14ac:dyDescent="0.3">
      <c r="A9" s="2" t="s">
        <v>36</v>
      </c>
      <c r="B9" s="3" t="s">
        <v>37</v>
      </c>
      <c r="C9" s="3" t="s">
        <v>14</v>
      </c>
      <c r="D9" s="2" t="s">
        <v>20</v>
      </c>
      <c r="E9" s="4">
        <v>18800000000</v>
      </c>
      <c r="F9" s="5">
        <v>0.02</v>
      </c>
      <c r="G9" s="6">
        <f t="shared" si="0"/>
        <v>18424000000</v>
      </c>
      <c r="H9" s="7" t="s">
        <v>16</v>
      </c>
      <c r="I9" s="3" t="str">
        <f>VLOOKUP(H9,'Bảng tra môi giới'!$A$2:$C$5,2,FALSE())</f>
        <v>Nguyễn An</v>
      </c>
      <c r="J9" s="8">
        <f>VLOOKUP(H9,'Bảng tra môi giới'!$A$2:$C$5,3,FALSE())</f>
        <v>0.02</v>
      </c>
      <c r="K9" s="6">
        <f t="shared" si="1"/>
        <v>368480000</v>
      </c>
      <c r="L9" s="6">
        <f>G9*'Tham số'!$B$2</f>
        <v>92120000</v>
      </c>
    </row>
    <row r="10" spans="1:12" x14ac:dyDescent="0.3">
      <c r="A10" s="2" t="s">
        <v>38</v>
      </c>
      <c r="B10" s="3" t="s">
        <v>39</v>
      </c>
      <c r="C10" s="3" t="s">
        <v>27</v>
      </c>
      <c r="D10" s="2" t="s">
        <v>20</v>
      </c>
      <c r="E10" s="4">
        <v>4800000000</v>
      </c>
      <c r="F10" s="5">
        <v>0.05</v>
      </c>
      <c r="G10" s="6">
        <f t="shared" si="0"/>
        <v>4560000000</v>
      </c>
      <c r="H10" s="7" t="s">
        <v>21</v>
      </c>
      <c r="I10" s="3" t="str">
        <f>VLOOKUP(H10,'Bảng tra môi giới'!$A$2:$C$5,2,FALSE())</f>
        <v>Lê Hằng</v>
      </c>
      <c r="J10" s="8">
        <f>VLOOKUP(H10,'Bảng tra môi giới'!$A$2:$C$5,3,FALSE())</f>
        <v>1.7999999999999999E-2</v>
      </c>
      <c r="K10" s="6">
        <f t="shared" si="1"/>
        <v>82080000</v>
      </c>
      <c r="L10" s="6">
        <f>G10*'Tham số'!$B$2</f>
        <v>22800000</v>
      </c>
    </row>
    <row r="11" spans="1:12" x14ac:dyDescent="0.3">
      <c r="A11" s="2" t="s">
        <v>40</v>
      </c>
      <c r="B11" s="3" t="s">
        <v>41</v>
      </c>
      <c r="C11" s="3" t="s">
        <v>19</v>
      </c>
      <c r="D11" s="2" t="s">
        <v>15</v>
      </c>
      <c r="E11" s="4">
        <v>4350000000</v>
      </c>
      <c r="F11" s="5">
        <v>0.02</v>
      </c>
      <c r="G11" s="6">
        <f t="shared" si="0"/>
        <v>4263000000</v>
      </c>
      <c r="H11" s="7" t="s">
        <v>21</v>
      </c>
      <c r="I11" s="3" t="str">
        <f>VLOOKUP(H11,'Bảng tra môi giới'!$A$2:$C$5,2,FALSE())</f>
        <v>Lê Hằng</v>
      </c>
      <c r="J11" s="8">
        <f>VLOOKUP(H11,'Bảng tra môi giới'!$A$2:$C$5,3,FALSE())</f>
        <v>1.7999999999999999E-2</v>
      </c>
      <c r="K11" s="6">
        <f t="shared" si="1"/>
        <v>76734000</v>
      </c>
      <c r="L11" s="6">
        <f>G11*'Tham số'!$B$2</f>
        <v>21315000</v>
      </c>
    </row>
    <row r="12" spans="1:12" x14ac:dyDescent="0.3">
      <c r="A12" s="2" t="s">
        <v>42</v>
      </c>
      <c r="B12" s="3" t="s">
        <v>43</v>
      </c>
      <c r="C12" s="3" t="s">
        <v>19</v>
      </c>
      <c r="D12" s="2" t="s">
        <v>15</v>
      </c>
      <c r="E12" s="4">
        <v>3800000000</v>
      </c>
      <c r="F12" s="5">
        <v>0</v>
      </c>
      <c r="G12" s="6">
        <f t="shared" si="0"/>
        <v>3800000000</v>
      </c>
      <c r="H12" s="7" t="s">
        <v>33</v>
      </c>
      <c r="I12" s="3" t="str">
        <f>VLOOKUP(H12,'Bảng tra môi giới'!$A$2:$C$5,2,FALSE())</f>
        <v>Phạm Nam</v>
      </c>
      <c r="J12" s="8">
        <f>VLOOKUP(H12,'Bảng tra môi giới'!$A$2:$C$5,3,FALSE())</f>
        <v>1.6E-2</v>
      </c>
      <c r="K12" s="6">
        <f t="shared" si="1"/>
        <v>60800000</v>
      </c>
      <c r="L12" s="6">
        <f>G12*'Tham số'!$B$2</f>
        <v>19000000</v>
      </c>
    </row>
    <row r="13" spans="1:12" x14ac:dyDescent="0.3">
      <c r="A13" s="2" t="s">
        <v>44</v>
      </c>
      <c r="B13" s="3" t="s">
        <v>45</v>
      </c>
      <c r="C13" s="3" t="s">
        <v>24</v>
      </c>
      <c r="D13" s="2" t="s">
        <v>20</v>
      </c>
      <c r="E13" s="4">
        <v>6550000000</v>
      </c>
      <c r="F13" s="5">
        <v>0.01</v>
      </c>
      <c r="G13" s="6">
        <f t="shared" si="0"/>
        <v>6484500000</v>
      </c>
      <c r="H13" s="7" t="s">
        <v>28</v>
      </c>
      <c r="I13" s="3" t="str">
        <f>VLOOKUP(H13,'Bảng tra môi giới'!$A$2:$C$5,2,FALSE())</f>
        <v>Trần Minh</v>
      </c>
      <c r="J13" s="8">
        <f>VLOOKUP(H13,'Bảng tra môi giới'!$A$2:$C$5,3,FALSE())</f>
        <v>1.4999999999999999E-2</v>
      </c>
      <c r="K13" s="6">
        <f t="shared" si="1"/>
        <v>97267500</v>
      </c>
      <c r="L13" s="6">
        <f>G13*'Tham số'!$B$2</f>
        <v>32422500</v>
      </c>
    </row>
    <row r="14" spans="1:12" x14ac:dyDescent="0.3">
      <c r="A14" s="2" t="s">
        <v>46</v>
      </c>
      <c r="B14" s="3" t="s">
        <v>47</v>
      </c>
      <c r="C14" s="3" t="s">
        <v>27</v>
      </c>
      <c r="D14" s="2" t="s">
        <v>15</v>
      </c>
      <c r="E14" s="4">
        <v>4450000000</v>
      </c>
      <c r="F14" s="5">
        <v>0.05</v>
      </c>
      <c r="G14" s="6">
        <f t="shared" si="0"/>
        <v>4227500000</v>
      </c>
      <c r="H14" s="7" t="s">
        <v>21</v>
      </c>
      <c r="I14" s="3" t="str">
        <f>VLOOKUP(H14,'Bảng tra môi giới'!$A$2:$C$5,2,FALSE())</f>
        <v>Lê Hằng</v>
      </c>
      <c r="J14" s="8">
        <f>VLOOKUP(H14,'Bảng tra môi giới'!$A$2:$C$5,3,FALSE())</f>
        <v>1.7999999999999999E-2</v>
      </c>
      <c r="K14" s="6">
        <f t="shared" si="1"/>
        <v>76095000</v>
      </c>
      <c r="L14" s="6">
        <f>G14*'Tham số'!$B$2</f>
        <v>21137500</v>
      </c>
    </row>
    <row r="15" spans="1:12" x14ac:dyDescent="0.3">
      <c r="A15" s="2" t="s">
        <v>48</v>
      </c>
      <c r="B15" s="3" t="s">
        <v>49</v>
      </c>
      <c r="C15" s="3" t="s">
        <v>14</v>
      </c>
      <c r="D15" s="2" t="s">
        <v>20</v>
      </c>
      <c r="E15" s="4">
        <v>15250000000</v>
      </c>
      <c r="F15" s="5">
        <v>0.01</v>
      </c>
      <c r="G15" s="6">
        <f t="shared" si="0"/>
        <v>15097500000</v>
      </c>
      <c r="H15" s="7" t="s">
        <v>16</v>
      </c>
      <c r="I15" s="3" t="str">
        <f>VLOOKUP(H15,'Bảng tra môi giới'!$A$2:$C$5,2,FALSE())</f>
        <v>Nguyễn An</v>
      </c>
      <c r="J15" s="8">
        <f>VLOOKUP(H15,'Bảng tra môi giới'!$A$2:$C$5,3,FALSE())</f>
        <v>0.02</v>
      </c>
      <c r="K15" s="6">
        <f t="shared" si="1"/>
        <v>301950000</v>
      </c>
      <c r="L15" s="6">
        <f>G15*'Tham số'!$B$2</f>
        <v>75487500</v>
      </c>
    </row>
    <row r="16" spans="1:12" x14ac:dyDescent="0.3">
      <c r="A16" s="2" t="s">
        <v>50</v>
      </c>
      <c r="B16" s="3" t="s">
        <v>51</v>
      </c>
      <c r="C16" s="3" t="s">
        <v>27</v>
      </c>
      <c r="D16" s="2" t="s">
        <v>20</v>
      </c>
      <c r="E16" s="4">
        <v>4350000000</v>
      </c>
      <c r="F16" s="5">
        <v>0.03</v>
      </c>
      <c r="G16" s="6">
        <f t="shared" si="0"/>
        <v>4219500000</v>
      </c>
      <c r="H16" s="7" t="s">
        <v>21</v>
      </c>
      <c r="I16" s="3" t="str">
        <f>VLOOKUP(H16,'Bảng tra môi giới'!$A$2:$C$5,2,FALSE())</f>
        <v>Lê Hằng</v>
      </c>
      <c r="J16" s="8">
        <f>VLOOKUP(H16,'Bảng tra môi giới'!$A$2:$C$5,3,FALSE())</f>
        <v>1.7999999999999999E-2</v>
      </c>
      <c r="K16" s="6">
        <f t="shared" si="1"/>
        <v>75951000</v>
      </c>
      <c r="L16" s="6">
        <f>G16*'Tham số'!$B$2</f>
        <v>21097500</v>
      </c>
    </row>
    <row r="17" spans="1:12" x14ac:dyDescent="0.3">
      <c r="A17" s="2" t="s">
        <v>52</v>
      </c>
      <c r="B17" s="3" t="s">
        <v>53</v>
      </c>
      <c r="C17" s="3" t="s">
        <v>27</v>
      </c>
      <c r="D17" s="2" t="s">
        <v>15</v>
      </c>
      <c r="E17" s="4">
        <v>3650000000</v>
      </c>
      <c r="F17" s="5">
        <v>0.03</v>
      </c>
      <c r="G17" s="6">
        <f t="shared" si="0"/>
        <v>3540500000</v>
      </c>
      <c r="H17" s="7" t="s">
        <v>16</v>
      </c>
      <c r="I17" s="3" t="str">
        <f>VLOOKUP(H17,'Bảng tra môi giới'!$A$2:$C$5,2,FALSE())</f>
        <v>Nguyễn An</v>
      </c>
      <c r="J17" s="8">
        <f>VLOOKUP(H17,'Bảng tra môi giới'!$A$2:$C$5,3,FALSE())</f>
        <v>0.02</v>
      </c>
      <c r="K17" s="6">
        <f t="shared" si="1"/>
        <v>70810000</v>
      </c>
      <c r="L17" s="6">
        <f>G17*'Tham số'!$B$2</f>
        <v>17702500</v>
      </c>
    </row>
    <row r="18" spans="1:12" x14ac:dyDescent="0.3">
      <c r="A18" s="2" t="s">
        <v>54</v>
      </c>
      <c r="B18" s="3" t="s">
        <v>55</v>
      </c>
      <c r="C18" s="3" t="s">
        <v>27</v>
      </c>
      <c r="D18" s="2" t="s">
        <v>15</v>
      </c>
      <c r="E18" s="4">
        <v>3450000000</v>
      </c>
      <c r="F18" s="5">
        <v>0.03</v>
      </c>
      <c r="G18" s="6">
        <f t="shared" si="0"/>
        <v>3346500000</v>
      </c>
      <c r="H18" s="7" t="s">
        <v>21</v>
      </c>
      <c r="I18" s="3" t="str">
        <f>VLOOKUP(H18,'Bảng tra môi giới'!$A$2:$C$5,2,FALSE())</f>
        <v>Lê Hằng</v>
      </c>
      <c r="J18" s="8">
        <f>VLOOKUP(H18,'Bảng tra môi giới'!$A$2:$C$5,3,FALSE())</f>
        <v>1.7999999999999999E-2</v>
      </c>
      <c r="K18" s="6">
        <f t="shared" si="1"/>
        <v>60236999.999999993</v>
      </c>
      <c r="L18" s="6">
        <f>G18*'Tham số'!$B$2</f>
        <v>16732500</v>
      </c>
    </row>
    <row r="19" spans="1:12" x14ac:dyDescent="0.3">
      <c r="A19" s="2" t="s">
        <v>56</v>
      </c>
      <c r="B19" s="3" t="s">
        <v>57</v>
      </c>
      <c r="C19" s="3" t="s">
        <v>14</v>
      </c>
      <c r="D19" s="2" t="s">
        <v>15</v>
      </c>
      <c r="E19" s="4">
        <v>12500000000</v>
      </c>
      <c r="F19" s="5">
        <v>0.05</v>
      </c>
      <c r="G19" s="6">
        <f t="shared" si="0"/>
        <v>11875000000</v>
      </c>
      <c r="H19" s="7" t="s">
        <v>33</v>
      </c>
      <c r="I19" s="3" t="str">
        <f>VLOOKUP(H19,'Bảng tra môi giới'!$A$2:$C$5,2,FALSE())</f>
        <v>Phạm Nam</v>
      </c>
      <c r="J19" s="8">
        <f>VLOOKUP(H19,'Bảng tra môi giới'!$A$2:$C$5,3,FALSE())</f>
        <v>1.6E-2</v>
      </c>
      <c r="K19" s="6">
        <f t="shared" si="1"/>
        <v>190000000</v>
      </c>
      <c r="L19" s="6">
        <f>G19*'Tham số'!$B$2</f>
        <v>59375000</v>
      </c>
    </row>
    <row r="20" spans="1:12" x14ac:dyDescent="0.3">
      <c r="A20" s="2" t="s">
        <v>58</v>
      </c>
      <c r="B20" s="3" t="s">
        <v>59</v>
      </c>
      <c r="C20" s="3" t="s">
        <v>27</v>
      </c>
      <c r="D20" s="2" t="s">
        <v>15</v>
      </c>
      <c r="E20" s="4">
        <v>2200000000</v>
      </c>
      <c r="F20" s="5">
        <v>0.05</v>
      </c>
      <c r="G20" s="6">
        <f t="shared" si="0"/>
        <v>2090000000</v>
      </c>
      <c r="H20" s="7" t="s">
        <v>16</v>
      </c>
      <c r="I20" s="3" t="str">
        <f>VLOOKUP(H20,'Bảng tra môi giới'!$A$2:$C$5,2,FALSE())</f>
        <v>Nguyễn An</v>
      </c>
      <c r="J20" s="8">
        <f>VLOOKUP(H20,'Bảng tra môi giới'!$A$2:$C$5,3,FALSE())</f>
        <v>0.02</v>
      </c>
      <c r="K20" s="6">
        <f t="shared" si="1"/>
        <v>41800000</v>
      </c>
      <c r="L20" s="6">
        <f>G20*'Tham số'!$B$2</f>
        <v>10450000</v>
      </c>
    </row>
    <row r="21" spans="1:12" x14ac:dyDescent="0.3">
      <c r="A21" s="2" t="s">
        <v>60</v>
      </c>
      <c r="B21" s="3" t="s">
        <v>61</v>
      </c>
      <c r="C21" s="3" t="s">
        <v>24</v>
      </c>
      <c r="D21" s="2" t="s">
        <v>20</v>
      </c>
      <c r="E21" s="4">
        <v>4750000000</v>
      </c>
      <c r="F21" s="5">
        <v>0</v>
      </c>
      <c r="G21" s="6">
        <f t="shared" si="0"/>
        <v>4750000000</v>
      </c>
      <c r="H21" s="7" t="s">
        <v>33</v>
      </c>
      <c r="I21" s="3" t="str">
        <f>VLOOKUP(H21,'Bảng tra môi giới'!$A$2:$C$5,2,FALSE())</f>
        <v>Phạm Nam</v>
      </c>
      <c r="J21" s="8">
        <f>VLOOKUP(H21,'Bảng tra môi giới'!$A$2:$C$5,3,FALSE())</f>
        <v>1.6E-2</v>
      </c>
      <c r="K21" s="6">
        <f t="shared" si="1"/>
        <v>76000000</v>
      </c>
      <c r="L21" s="6">
        <f>G21*'Tham số'!$B$2</f>
        <v>23750000</v>
      </c>
    </row>
    <row r="22" spans="1:12" x14ac:dyDescent="0.3">
      <c r="A22" s="2" t="s">
        <v>62</v>
      </c>
      <c r="B22" s="3" t="s">
        <v>63</v>
      </c>
      <c r="C22" s="3" t="s">
        <v>24</v>
      </c>
      <c r="D22" s="2" t="s">
        <v>20</v>
      </c>
      <c r="E22" s="4">
        <v>7400000000</v>
      </c>
      <c r="F22" s="5">
        <v>0.02</v>
      </c>
      <c r="G22" s="6">
        <f t="shared" si="0"/>
        <v>7252000000</v>
      </c>
      <c r="H22" s="7" t="s">
        <v>33</v>
      </c>
      <c r="I22" s="3" t="str">
        <f>VLOOKUP(H22,'Bảng tra môi giới'!$A$2:$C$5,2,FALSE())</f>
        <v>Phạm Nam</v>
      </c>
      <c r="J22" s="8">
        <f>VLOOKUP(H22,'Bảng tra môi giới'!$A$2:$C$5,3,FALSE())</f>
        <v>1.6E-2</v>
      </c>
      <c r="K22" s="6">
        <f t="shared" si="1"/>
        <v>116032000</v>
      </c>
      <c r="L22" s="6">
        <f>G22*'Tham số'!$B$2</f>
        <v>36260000</v>
      </c>
    </row>
    <row r="23" spans="1:12" x14ac:dyDescent="0.3">
      <c r="A23" s="2" t="s">
        <v>64</v>
      </c>
      <c r="B23" s="3" t="s">
        <v>65</v>
      </c>
      <c r="C23" s="3" t="s">
        <v>24</v>
      </c>
      <c r="D23" s="2" t="s">
        <v>15</v>
      </c>
      <c r="E23" s="4">
        <v>6350000000</v>
      </c>
      <c r="F23" s="5">
        <v>0.03</v>
      </c>
      <c r="G23" s="6">
        <f t="shared" si="0"/>
        <v>6159500000</v>
      </c>
      <c r="H23" s="7" t="s">
        <v>21</v>
      </c>
      <c r="I23" s="3" t="str">
        <f>VLOOKUP(H23,'Bảng tra môi giới'!$A$2:$C$5,2,FALSE())</f>
        <v>Lê Hằng</v>
      </c>
      <c r="J23" s="8">
        <f>VLOOKUP(H23,'Bảng tra môi giới'!$A$2:$C$5,3,FALSE())</f>
        <v>1.7999999999999999E-2</v>
      </c>
      <c r="K23" s="6">
        <f t="shared" si="1"/>
        <v>110870999.99999999</v>
      </c>
      <c r="L23" s="6">
        <f>G23*'Tham số'!$B$2</f>
        <v>30797500</v>
      </c>
    </row>
    <row r="24" spans="1:12" x14ac:dyDescent="0.3">
      <c r="A24" s="2" t="s">
        <v>66</v>
      </c>
      <c r="B24" s="3" t="s">
        <v>67</v>
      </c>
      <c r="C24" s="3" t="s">
        <v>19</v>
      </c>
      <c r="D24" s="2" t="s">
        <v>15</v>
      </c>
      <c r="E24" s="4">
        <v>3100000000</v>
      </c>
      <c r="F24" s="5">
        <v>0.05</v>
      </c>
      <c r="G24" s="6">
        <f t="shared" si="0"/>
        <v>2945000000</v>
      </c>
      <c r="H24" s="7" t="s">
        <v>21</v>
      </c>
      <c r="I24" s="3" t="str">
        <f>VLOOKUP(H24,'Bảng tra môi giới'!$A$2:$C$5,2,FALSE())</f>
        <v>Lê Hằng</v>
      </c>
      <c r="J24" s="8">
        <f>VLOOKUP(H24,'Bảng tra môi giới'!$A$2:$C$5,3,FALSE())</f>
        <v>1.7999999999999999E-2</v>
      </c>
      <c r="K24" s="6">
        <f t="shared" si="1"/>
        <v>53009999.999999993</v>
      </c>
      <c r="L24" s="6">
        <f>G24*'Tham số'!$B$2</f>
        <v>14725000</v>
      </c>
    </row>
    <row r="25" spans="1:12" x14ac:dyDescent="0.3">
      <c r="A25" s="2" t="s">
        <v>68</v>
      </c>
      <c r="B25" s="3" t="s">
        <v>69</v>
      </c>
      <c r="C25" s="3" t="s">
        <v>14</v>
      </c>
      <c r="D25" s="2" t="s">
        <v>15</v>
      </c>
      <c r="E25" s="4">
        <v>15750000000</v>
      </c>
      <c r="F25" s="5">
        <v>0.05</v>
      </c>
      <c r="G25" s="6">
        <f t="shared" si="0"/>
        <v>14962500000</v>
      </c>
      <c r="H25" s="7" t="s">
        <v>16</v>
      </c>
      <c r="I25" s="3" t="str">
        <f>VLOOKUP(H25,'Bảng tra môi giới'!$A$2:$C$5,2,FALSE())</f>
        <v>Nguyễn An</v>
      </c>
      <c r="J25" s="8">
        <f>VLOOKUP(H25,'Bảng tra môi giới'!$A$2:$C$5,3,FALSE())</f>
        <v>0.02</v>
      </c>
      <c r="K25" s="6">
        <f t="shared" si="1"/>
        <v>299250000</v>
      </c>
      <c r="L25" s="6">
        <f>G25*'Tham số'!$B$2</f>
        <v>74812500</v>
      </c>
    </row>
    <row r="26" spans="1:12" x14ac:dyDescent="0.3">
      <c r="A26" s="2" t="s">
        <v>70</v>
      </c>
      <c r="B26" s="3" t="s">
        <v>71</v>
      </c>
      <c r="C26" s="3" t="s">
        <v>19</v>
      </c>
      <c r="D26" s="2" t="s">
        <v>15</v>
      </c>
      <c r="E26" s="4">
        <v>2800000000</v>
      </c>
      <c r="F26" s="5">
        <v>0.01</v>
      </c>
      <c r="G26" s="6">
        <f t="shared" si="0"/>
        <v>2772000000</v>
      </c>
      <c r="H26" s="7" t="s">
        <v>28</v>
      </c>
      <c r="I26" s="3" t="str">
        <f>VLOOKUP(H26,'Bảng tra môi giới'!$A$2:$C$5,2,FALSE())</f>
        <v>Trần Minh</v>
      </c>
      <c r="J26" s="8">
        <f>VLOOKUP(H26,'Bảng tra môi giới'!$A$2:$C$5,3,FALSE())</f>
        <v>1.4999999999999999E-2</v>
      </c>
      <c r="K26" s="6">
        <f t="shared" si="1"/>
        <v>41580000</v>
      </c>
      <c r="L26" s="6">
        <f>G26*'Tham số'!$B$2</f>
        <v>13860000</v>
      </c>
    </row>
    <row r="27" spans="1:12" x14ac:dyDescent="0.3">
      <c r="A27" s="2" t="s">
        <v>72</v>
      </c>
      <c r="B27" s="3" t="s">
        <v>73</v>
      </c>
      <c r="C27" s="3" t="s">
        <v>27</v>
      </c>
      <c r="D27" s="2" t="s">
        <v>15</v>
      </c>
      <c r="E27" s="4">
        <v>2800000000</v>
      </c>
      <c r="F27" s="5">
        <v>0.01</v>
      </c>
      <c r="G27" s="6">
        <f t="shared" si="0"/>
        <v>2772000000</v>
      </c>
      <c r="H27" s="7" t="s">
        <v>21</v>
      </c>
      <c r="I27" s="3" t="str">
        <f>VLOOKUP(H27,'Bảng tra môi giới'!$A$2:$C$5,2,FALSE())</f>
        <v>Lê Hằng</v>
      </c>
      <c r="J27" s="8">
        <f>VLOOKUP(H27,'Bảng tra môi giới'!$A$2:$C$5,3,FALSE())</f>
        <v>1.7999999999999999E-2</v>
      </c>
      <c r="K27" s="6">
        <f t="shared" si="1"/>
        <v>49895999.999999993</v>
      </c>
      <c r="L27" s="6">
        <f>G27*'Tham số'!$B$2</f>
        <v>13860000</v>
      </c>
    </row>
    <row r="28" spans="1:12" x14ac:dyDescent="0.3">
      <c r="A28" s="2" t="s">
        <v>74</v>
      </c>
      <c r="B28" s="3" t="s">
        <v>75</v>
      </c>
      <c r="C28" s="3" t="s">
        <v>14</v>
      </c>
      <c r="D28" s="2" t="s">
        <v>20</v>
      </c>
      <c r="E28" s="4">
        <v>14800000000</v>
      </c>
      <c r="F28" s="5">
        <v>0.01</v>
      </c>
      <c r="G28" s="6">
        <f t="shared" si="0"/>
        <v>14652000000</v>
      </c>
      <c r="H28" s="7" t="s">
        <v>16</v>
      </c>
      <c r="I28" s="3" t="str">
        <f>VLOOKUP(H28,'Bảng tra môi giới'!$A$2:$C$5,2,FALSE())</f>
        <v>Nguyễn An</v>
      </c>
      <c r="J28" s="8">
        <f>VLOOKUP(H28,'Bảng tra môi giới'!$A$2:$C$5,3,FALSE())</f>
        <v>0.02</v>
      </c>
      <c r="K28" s="6">
        <f t="shared" si="1"/>
        <v>293040000</v>
      </c>
      <c r="L28" s="6">
        <f>G28*'Tham số'!$B$2</f>
        <v>73260000</v>
      </c>
    </row>
    <row r="29" spans="1:12" x14ac:dyDescent="0.3">
      <c r="A29" s="2" t="s">
        <v>76</v>
      </c>
      <c r="B29" s="3" t="s">
        <v>77</v>
      </c>
      <c r="C29" s="3" t="s">
        <v>24</v>
      </c>
      <c r="D29" s="2" t="s">
        <v>15</v>
      </c>
      <c r="E29" s="4">
        <v>7550000000</v>
      </c>
      <c r="F29" s="5">
        <v>0.03</v>
      </c>
      <c r="G29" s="6">
        <f t="shared" si="0"/>
        <v>7323500000</v>
      </c>
      <c r="H29" s="7" t="s">
        <v>21</v>
      </c>
      <c r="I29" s="3" t="str">
        <f>VLOOKUP(H29,'Bảng tra môi giới'!$A$2:$C$5,2,FALSE())</f>
        <v>Lê Hằng</v>
      </c>
      <c r="J29" s="8">
        <f>VLOOKUP(H29,'Bảng tra môi giới'!$A$2:$C$5,3,FALSE())</f>
        <v>1.7999999999999999E-2</v>
      </c>
      <c r="K29" s="6">
        <f t="shared" si="1"/>
        <v>131822999.99999999</v>
      </c>
      <c r="L29" s="6">
        <f>G29*'Tham số'!$B$2</f>
        <v>36617500</v>
      </c>
    </row>
    <row r="30" spans="1:12" x14ac:dyDescent="0.3">
      <c r="A30" s="2" t="s">
        <v>78</v>
      </c>
      <c r="B30" s="3" t="s">
        <v>79</v>
      </c>
      <c r="C30" s="3" t="s">
        <v>19</v>
      </c>
      <c r="D30" s="2" t="s">
        <v>20</v>
      </c>
      <c r="E30" s="4">
        <v>4300000000</v>
      </c>
      <c r="F30" s="5">
        <v>0.02</v>
      </c>
      <c r="G30" s="6">
        <f t="shared" si="0"/>
        <v>4214000000</v>
      </c>
      <c r="H30" s="7" t="s">
        <v>28</v>
      </c>
      <c r="I30" s="3" t="str">
        <f>VLOOKUP(H30,'Bảng tra môi giới'!$A$2:$C$5,2,FALSE())</f>
        <v>Trần Minh</v>
      </c>
      <c r="J30" s="8">
        <f>VLOOKUP(H30,'Bảng tra môi giới'!$A$2:$C$5,3,FALSE())</f>
        <v>1.4999999999999999E-2</v>
      </c>
      <c r="K30" s="6">
        <f t="shared" si="1"/>
        <v>63210000</v>
      </c>
      <c r="L30" s="6">
        <f>G30*'Tham số'!$B$2</f>
        <v>21070000</v>
      </c>
    </row>
    <row r="31" spans="1:12" x14ac:dyDescent="0.3">
      <c r="A31" s="2" t="s">
        <v>80</v>
      </c>
      <c r="B31" s="3" t="s">
        <v>81</v>
      </c>
      <c r="C31" s="3" t="s">
        <v>27</v>
      </c>
      <c r="D31" s="2" t="s">
        <v>20</v>
      </c>
      <c r="E31" s="4">
        <v>4050000000</v>
      </c>
      <c r="F31" s="5">
        <v>0</v>
      </c>
      <c r="G31" s="6">
        <f t="shared" si="0"/>
        <v>4050000000</v>
      </c>
      <c r="H31" s="7" t="s">
        <v>28</v>
      </c>
      <c r="I31" s="3" t="str">
        <f>VLOOKUP(H31,'Bảng tra môi giới'!$A$2:$C$5,2,FALSE())</f>
        <v>Trần Minh</v>
      </c>
      <c r="J31" s="8">
        <f>VLOOKUP(H31,'Bảng tra môi giới'!$A$2:$C$5,3,FALSE())</f>
        <v>1.4999999999999999E-2</v>
      </c>
      <c r="K31" s="6">
        <f t="shared" si="1"/>
        <v>60750000</v>
      </c>
      <c r="L31" s="6">
        <f>G31*'Tham số'!$B$2</f>
        <v>20250000</v>
      </c>
    </row>
  </sheetData>
  <autoFilter ref="A1:L3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zoomScaleNormal="100" workbookViewId="0"/>
  </sheetViews>
  <sheetFormatPr defaultColWidth="8.6640625" defaultRowHeight="14.4" x14ac:dyDescent="0.3"/>
  <cols>
    <col min="1" max="1" width="10" customWidth="1"/>
    <col min="2" max="2" width="18" customWidth="1"/>
    <col min="3" max="3" width="16" customWidth="1"/>
  </cols>
  <sheetData>
    <row r="1" spans="1:3" x14ac:dyDescent="0.3">
      <c r="A1" s="1" t="s">
        <v>7</v>
      </c>
      <c r="B1" s="1" t="s">
        <v>8</v>
      </c>
      <c r="C1" s="1" t="s">
        <v>9</v>
      </c>
    </row>
    <row r="2" spans="1:3" x14ac:dyDescent="0.3">
      <c r="A2" s="3" t="s">
        <v>16</v>
      </c>
      <c r="B2" s="9" t="s">
        <v>82</v>
      </c>
      <c r="C2" s="10">
        <v>0.02</v>
      </c>
    </row>
    <row r="3" spans="1:3" x14ac:dyDescent="0.3">
      <c r="A3" s="3" t="s">
        <v>28</v>
      </c>
      <c r="B3" s="9" t="s">
        <v>83</v>
      </c>
      <c r="C3" s="10">
        <v>1.4999999999999999E-2</v>
      </c>
    </row>
    <row r="4" spans="1:3" x14ac:dyDescent="0.3">
      <c r="A4" s="3" t="s">
        <v>21</v>
      </c>
      <c r="B4" s="9" t="s">
        <v>84</v>
      </c>
      <c r="C4" s="10">
        <v>1.7999999999999999E-2</v>
      </c>
    </row>
    <row r="5" spans="1:3" x14ac:dyDescent="0.3">
      <c r="A5" s="3" t="s">
        <v>33</v>
      </c>
      <c r="B5" s="9" t="s">
        <v>85</v>
      </c>
      <c r="C5" s="10">
        <v>1.6E-2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12" customWidth="1"/>
    <col min="3" max="3" width="66" customWidth="1"/>
  </cols>
  <sheetData>
    <row r="1" spans="1:3" x14ac:dyDescent="0.3">
      <c r="A1" s="1" t="s">
        <v>86</v>
      </c>
      <c r="B1" s="1" t="s">
        <v>87</v>
      </c>
      <c r="C1" s="1" t="s">
        <v>88</v>
      </c>
    </row>
    <row r="2" spans="1:3" x14ac:dyDescent="0.3">
      <c r="A2" s="11" t="s">
        <v>89</v>
      </c>
      <c r="B2" s="12">
        <v>5.0000000000000001E-3</v>
      </c>
      <c r="C2" s="11" t="s">
        <v>90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zoomScaleNormal="100" workbookViewId="0"/>
  </sheetViews>
  <sheetFormatPr defaultColWidth="8.6640625" defaultRowHeight="14.4" x14ac:dyDescent="0.3"/>
  <cols>
    <col min="1" max="1" width="44" customWidth="1"/>
    <col min="2" max="2" width="20" customWidth="1"/>
  </cols>
  <sheetData>
    <row r="1" spans="1:2" x14ac:dyDescent="0.3">
      <c r="A1" s="1" t="s">
        <v>91</v>
      </c>
      <c r="B1" s="1" t="s">
        <v>87</v>
      </c>
    </row>
    <row r="2" spans="1:2" x14ac:dyDescent="0.3">
      <c r="A2" s="11" t="s">
        <v>92</v>
      </c>
      <c r="B2" s="11">
        <f>COUNTA('Danh sách nhà đất'!$A$2:$A$31)</f>
        <v>30</v>
      </c>
    </row>
    <row r="3" spans="1:2" x14ac:dyDescent="0.3">
      <c r="A3" s="11" t="s">
        <v>93</v>
      </c>
      <c r="B3" s="13">
        <f>SUM('Danh sách nhà đất'!$E$2:$E$31)</f>
        <v>201050000000</v>
      </c>
    </row>
    <row r="4" spans="1:2" x14ac:dyDescent="0.3">
      <c r="A4" s="11" t="s">
        <v>94</v>
      </c>
      <c r="B4" s="13">
        <f>SUM('Danh sách nhà đất'!$G$2:$G$31)</f>
        <v>196163000000</v>
      </c>
    </row>
    <row r="5" spans="1:2" x14ac:dyDescent="0.3">
      <c r="A5" s="11" t="s">
        <v>95</v>
      </c>
      <c r="B5" s="13">
        <f>SUM('Danh sách nhà đất'!$K$2:$K$31)</f>
        <v>3567292000</v>
      </c>
    </row>
    <row r="6" spans="1:2" x14ac:dyDescent="0.3">
      <c r="A6" s="11" t="s">
        <v>96</v>
      </c>
      <c r="B6" s="14">
        <f>B5/B4</f>
        <v>1.8185345860330441E-2</v>
      </c>
    </row>
    <row r="7" spans="1:2" x14ac:dyDescent="0.3">
      <c r="A7" s="11"/>
      <c r="B7" s="11"/>
    </row>
    <row r="8" spans="1:2" x14ac:dyDescent="0.3">
      <c r="A8" s="1" t="s">
        <v>8</v>
      </c>
      <c r="B8" s="1" t="s">
        <v>10</v>
      </c>
    </row>
    <row r="9" spans="1:2" x14ac:dyDescent="0.3">
      <c r="A9" s="11" t="str">
        <f>'Bảng tra môi giới'!B2</f>
        <v>Nguyễn An</v>
      </c>
      <c r="B9" s="13">
        <f>SUMIF('Danh sách nhà đất'!$H$2:$H$31,'Bảng tra môi giới'!A2,'Danh sách nhà đất'!$K$2:$K$31)</f>
        <v>1695790000</v>
      </c>
    </row>
    <row r="10" spans="1:2" x14ac:dyDescent="0.3">
      <c r="A10" s="11" t="str">
        <f>'Bảng tra môi giới'!B3</f>
        <v>Trần Minh</v>
      </c>
      <c r="B10" s="13">
        <f>SUMIF('Danh sách nhà đất'!$H$2:$H$31,'Bảng tra môi giới'!A3,'Danh sách nhà đất'!$K$2:$K$31)</f>
        <v>354660000</v>
      </c>
    </row>
    <row r="11" spans="1:2" x14ac:dyDescent="0.3">
      <c r="A11" s="11" t="str">
        <f>'Bảng tra môi giới'!B4</f>
        <v>Lê Hằng</v>
      </c>
      <c r="B11" s="13">
        <f>SUMIF('Danh sách nhà đất'!$H$2:$H$31,'Bảng tra môi giới'!A4,'Danh sách nhà đất'!$K$2:$K$31)</f>
        <v>1018530000</v>
      </c>
    </row>
    <row r="12" spans="1:2" x14ac:dyDescent="0.3">
      <c r="A12" s="11" t="str">
        <f>'Bảng tra môi giới'!B5</f>
        <v>Phạm Nam</v>
      </c>
      <c r="B12" s="13">
        <f>SUMIF('Danh sách nhà đất'!$H$2:$H$31,'Bảng tra môi giới'!A5,'Danh sách nhà đất'!$K$2:$K$31)</f>
        <v>498312000</v>
      </c>
    </row>
    <row r="13" spans="1:2" x14ac:dyDescent="0.3">
      <c r="A13" s="15" t="s">
        <v>97</v>
      </c>
      <c r="B13" s="16">
        <f>SUM(B9:B12)</f>
        <v>3567292000</v>
      </c>
    </row>
    <row r="14" spans="1:2" x14ac:dyDescent="0.3">
      <c r="A14" s="11"/>
      <c r="B14" s="11"/>
    </row>
    <row r="15" spans="1:2" x14ac:dyDescent="0.3">
      <c r="A15" s="11" t="s">
        <v>98</v>
      </c>
      <c r="B15" s="11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4</vt:i4>
      </vt:variant>
    </vt:vector>
  </HeadingPairs>
  <TitlesOfParts>
    <vt:vector size="4" baseType="lpstr">
      <vt:lpstr>Danh sách nhà đất</vt:lpstr>
      <vt:lpstr>Bảng tra môi giới</vt:lpstr>
      <vt:lpstr>Tham số</vt:lpstr>
      <vt:lpstr>Tổng hợp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Khiêm Lê</cp:lastModifiedBy>
  <cp:revision>0</cp:revision>
  <dcterms:created xsi:type="dcterms:W3CDTF">2026-10-27T00:31:27Z</dcterms:created>
  <dcterms:modified xsi:type="dcterms:W3CDTF">2026-10-27T00:34:27Z</dcterms:modified>
  <dc:language>en-US</dc:language>
</cp:coreProperties>
</file>