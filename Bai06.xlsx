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nhà đất" sheetId="1" state="visible" r:id="rId1"/>
    <sheet xmlns:r="http://schemas.openxmlformats.org/officeDocument/2006/relationships" name="BangTraCuu" sheetId="2" state="visible" r:id="rId2"/>
  </sheets>
  <definedNames>
    <definedName name="_xlnm._FilterDatabase" localSheetId="0" hidden="1">'Danh sách nhà đất'!$A$4:$H$104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B4D3E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4D3E"/>
      <sz val="13"/>
    </font>
  </fonts>
  <fills count="3">
    <fill>
      <patternFill/>
    </fill>
    <fill>
      <patternFill patternType="gray125"/>
    </fill>
    <fill>
      <patternFill patternType="solid">
        <fgColor rgb="001B4D3E"/>
        <bgColor rgb="001B4D3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center"/>
    </xf>
    <xf numFmtId="0" fontId="5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14" customWidth="1" min="4" max="4"/>
    <col width="20" customWidth="1" min="5" max="5"/>
    <col width="12" customWidth="1" min="6" max="6"/>
    <col width="16" customWidth="1" min="7" max="7"/>
    <col width="20" customWidth="1" min="8" max="8"/>
  </cols>
  <sheetData>
    <row r="1">
      <c r="A1" s="1" t="inlineStr">
        <is>
          <t>DANH SÁCH BẤT ĐỘNG SẢN &amp; TÍNH HOA HỒNG MÔI GIỚI</t>
        </is>
      </c>
    </row>
    <row r="2">
      <c r="A2" s="2" t="inlineStr">
        <is>
          <t>Dự án Khởi nghiệp Smart-Home | Cập nhật: 20/05/2024</t>
        </is>
      </c>
    </row>
    <row r="4">
      <c r="A4" s="3" t="inlineStr">
        <is>
          <t>STT</t>
        </is>
      </c>
      <c r="B4" s="3" t="inlineStr">
        <is>
          <t>Mã BĐS</t>
        </is>
      </c>
      <c r="C4" s="3" t="inlineStr">
        <is>
          <t>Tên BĐS</t>
        </is>
      </c>
      <c r="D4" s="3" t="inlineStr">
        <is>
          <t>Loại BĐS</t>
        </is>
      </c>
      <c r="E4" s="3" t="inlineStr">
        <is>
          <t>Giá bán (VNĐ)</t>
        </is>
      </c>
      <c r="F4" s="3" t="inlineStr">
        <is>
          <t>Mã MG</t>
        </is>
      </c>
      <c r="G4" s="3" t="inlineStr">
        <is>
          <t>Tỷ lệ hoa hồng</t>
        </is>
      </c>
      <c r="H4" s="3" t="inlineStr">
        <is>
          <t>Hoa hồng (VNĐ)</t>
        </is>
      </c>
    </row>
    <row r="5">
      <c r="A5" s="4" t="n">
        <v>1</v>
      </c>
      <c r="B5" s="4" t="inlineStr">
        <is>
          <t>SH001</t>
        </is>
      </c>
      <c r="C5" s="5" t="inlineStr">
        <is>
          <t>Diamond Park Plaza #1</t>
        </is>
      </c>
      <c r="D5" s="4" t="inlineStr">
        <is>
          <t>Biệt thự</t>
        </is>
      </c>
      <c r="E5" s="6" t="n">
        <v>3100000000</v>
      </c>
      <c r="F5" s="4" t="inlineStr">
        <is>
          <t>MG03</t>
        </is>
      </c>
      <c r="G5" s="7">
        <f>VLOOKUP(F5, BangTraCuu!$A$3:$C$6, 3, FALSE)</f>
        <v/>
      </c>
      <c r="H5" s="6">
        <f>E5*G5</f>
        <v/>
      </c>
    </row>
    <row r="6">
      <c r="A6" s="4" t="n">
        <v>2</v>
      </c>
      <c r="B6" s="4" t="inlineStr">
        <is>
          <t>SH002</t>
        </is>
      </c>
      <c r="C6" s="5" t="inlineStr">
        <is>
          <t>Skyline Apartment #2</t>
        </is>
      </c>
      <c r="D6" s="4" t="inlineStr">
        <is>
          <t>Biệt thự</t>
        </is>
      </c>
      <c r="E6" s="6" t="n">
        <v>6000000000</v>
      </c>
      <c r="F6" s="4" t="inlineStr">
        <is>
          <t>MG01</t>
        </is>
      </c>
      <c r="G6" s="7">
        <f>VLOOKUP(F6, BangTraCuu!$A$3:$C$6, 3, FALSE)</f>
        <v/>
      </c>
      <c r="H6" s="6">
        <f>E6*G6</f>
        <v/>
      </c>
    </row>
    <row r="7">
      <c r="A7" s="4" t="n">
        <v>3</v>
      </c>
      <c r="B7" s="4" t="inlineStr">
        <is>
          <t>SH003</t>
        </is>
      </c>
      <c r="C7" s="5" t="inlineStr">
        <is>
          <t>Diamond Park Plaza #3</t>
        </is>
      </c>
      <c r="D7" s="4" t="inlineStr">
        <is>
          <t>Nhà phố</t>
        </is>
      </c>
      <c r="E7" s="6" t="n">
        <v>16400000000</v>
      </c>
      <c r="F7" s="4" t="inlineStr">
        <is>
          <t>MG01</t>
        </is>
      </c>
      <c r="G7" s="7">
        <f>VLOOKUP(F7, BangTraCuu!$A$3:$C$6, 3, FALSE)</f>
        <v/>
      </c>
      <c r="H7" s="6">
        <f>E7*G7</f>
        <v/>
      </c>
    </row>
    <row r="8">
      <c r="A8" s="4" t="n">
        <v>4</v>
      </c>
      <c r="B8" s="4" t="inlineStr">
        <is>
          <t>SH004</t>
        </is>
      </c>
      <c r="C8" s="5" t="inlineStr">
        <is>
          <t>Dragon Hill Villa #4</t>
        </is>
      </c>
      <c r="D8" s="4" t="inlineStr">
        <is>
          <t>Căn hộ</t>
        </is>
      </c>
      <c r="E8" s="6" t="n">
        <v>3300000000</v>
      </c>
      <c r="F8" s="4" t="inlineStr">
        <is>
          <t>MG01</t>
        </is>
      </c>
      <c r="G8" s="7">
        <f>VLOOKUP(F8, BangTraCuu!$A$3:$C$6, 3, FALSE)</f>
        <v/>
      </c>
      <c r="H8" s="6">
        <f>E8*G8</f>
        <v/>
      </c>
    </row>
    <row r="9">
      <c r="A9" s="4" t="n">
        <v>5</v>
      </c>
      <c r="B9" s="4" t="inlineStr">
        <is>
          <t>SH005</t>
        </is>
      </c>
      <c r="C9" s="5" t="inlineStr">
        <is>
          <t>Sunrise Apartment #5</t>
        </is>
      </c>
      <c r="D9" s="4" t="inlineStr">
        <is>
          <t>Biệt thự</t>
        </is>
      </c>
      <c r="E9" s="6" t="n">
        <v>8400000000</v>
      </c>
      <c r="F9" s="4" t="inlineStr">
        <is>
          <t>MG01</t>
        </is>
      </c>
      <c r="G9" s="7">
        <f>VLOOKUP(F9, BangTraCuu!$A$3:$C$6, 3, FALSE)</f>
        <v/>
      </c>
      <c r="H9" s="6">
        <f>E9*G9</f>
        <v/>
      </c>
    </row>
    <row r="10">
      <c r="A10" s="4" t="n">
        <v>6</v>
      </c>
      <c r="B10" s="4" t="inlineStr">
        <is>
          <t>SH006</t>
        </is>
      </c>
      <c r="C10" s="5" t="inlineStr">
        <is>
          <t>Eco Green City #6</t>
        </is>
      </c>
      <c r="D10" s="4" t="inlineStr">
        <is>
          <t>Biệt thự</t>
        </is>
      </c>
      <c r="E10" s="6" t="n">
        <v>19100000000</v>
      </c>
      <c r="F10" s="4" t="inlineStr">
        <is>
          <t>MG04</t>
        </is>
      </c>
      <c r="G10" s="7">
        <f>VLOOKUP(F10, BangTraCuu!$A$3:$C$6, 3, FALSE)</f>
        <v/>
      </c>
      <c r="H10" s="6">
        <f>E10*G10</f>
        <v/>
      </c>
    </row>
    <row r="11">
      <c r="A11" s="4" t="n">
        <v>7</v>
      </c>
      <c r="B11" s="4" t="inlineStr">
        <is>
          <t>SH007</t>
        </is>
      </c>
      <c r="C11" s="5" t="inlineStr">
        <is>
          <t>Skyline Apartment #7</t>
        </is>
      </c>
      <c r="D11" s="4" t="inlineStr">
        <is>
          <t>Căn hộ</t>
        </is>
      </c>
      <c r="E11" s="6" t="n">
        <v>17500000000</v>
      </c>
      <c r="F11" s="4" t="inlineStr">
        <is>
          <t>MG03</t>
        </is>
      </c>
      <c r="G11" s="7">
        <f>VLOOKUP(F11, BangTraCuu!$A$3:$C$6, 3, FALSE)</f>
        <v/>
      </c>
      <c r="H11" s="6">
        <f>E11*G11</f>
        <v/>
      </c>
    </row>
    <row r="12">
      <c r="A12" s="4" t="n">
        <v>8</v>
      </c>
      <c r="B12" s="4" t="inlineStr">
        <is>
          <t>SH008</t>
        </is>
      </c>
      <c r="C12" s="5" t="inlineStr">
        <is>
          <t>Villa Riverside #8</t>
        </is>
      </c>
      <c r="D12" s="4" t="inlineStr">
        <is>
          <t>Biệt thự</t>
        </is>
      </c>
      <c r="E12" s="6" t="n">
        <v>13300000000</v>
      </c>
      <c r="F12" s="4" t="inlineStr">
        <is>
          <t>MG03</t>
        </is>
      </c>
      <c r="G12" s="7">
        <f>VLOOKUP(F12, BangTraCuu!$A$3:$C$6, 3, FALSE)</f>
        <v/>
      </c>
      <c r="H12" s="6">
        <f>E12*G12</f>
        <v/>
      </c>
    </row>
    <row r="13">
      <c r="A13" s="4" t="n">
        <v>9</v>
      </c>
      <c r="B13" s="4" t="inlineStr">
        <is>
          <t>SH009</t>
        </is>
      </c>
      <c r="C13" s="5" t="inlineStr">
        <is>
          <t>Ocean View Villa #9</t>
        </is>
      </c>
      <c r="D13" s="4" t="inlineStr">
        <is>
          <t>Biệt thự</t>
        </is>
      </c>
      <c r="E13" s="6" t="n">
        <v>8000000000</v>
      </c>
      <c r="F13" s="4" t="inlineStr">
        <is>
          <t>MG03</t>
        </is>
      </c>
      <c r="G13" s="7">
        <f>VLOOKUP(F13, BangTraCuu!$A$3:$C$6, 3, FALSE)</f>
        <v/>
      </c>
      <c r="H13" s="6">
        <f>E13*G13</f>
        <v/>
      </c>
    </row>
    <row r="14">
      <c r="A14" s="4" t="n">
        <v>10</v>
      </c>
      <c r="B14" s="4" t="inlineStr">
        <is>
          <t>SH010</t>
        </is>
      </c>
      <c r="C14" s="5" t="inlineStr">
        <is>
          <t>Sunrise Apartment #10</t>
        </is>
      </c>
      <c r="D14" s="4" t="inlineStr">
        <is>
          <t>Biệt thự</t>
        </is>
      </c>
      <c r="E14" s="6" t="n">
        <v>12200000000</v>
      </c>
      <c r="F14" s="4" t="inlineStr">
        <is>
          <t>MG01</t>
        </is>
      </c>
      <c r="G14" s="7">
        <f>VLOOKUP(F14, BangTraCuu!$A$3:$C$6, 3, FALSE)</f>
        <v/>
      </c>
      <c r="H14" s="6">
        <f>E14*G14</f>
        <v/>
      </c>
    </row>
    <row r="15">
      <c r="A15" s="4" t="n">
        <v>11</v>
      </c>
      <c r="B15" s="4" t="inlineStr">
        <is>
          <t>SH011</t>
        </is>
      </c>
      <c r="C15" s="5" t="inlineStr">
        <is>
          <t>Central House #11</t>
        </is>
      </c>
      <c r="D15" s="4" t="inlineStr">
        <is>
          <t>Căn hộ</t>
        </is>
      </c>
      <c r="E15" s="6" t="n">
        <v>17900000000</v>
      </c>
      <c r="F15" s="4" t="inlineStr">
        <is>
          <t>MG03</t>
        </is>
      </c>
      <c r="G15" s="7">
        <f>VLOOKUP(F15, BangTraCuu!$A$3:$C$6, 3, FALSE)</f>
        <v/>
      </c>
      <c r="H15" s="6">
        <f>E15*G15</f>
        <v/>
      </c>
    </row>
    <row r="16">
      <c r="A16" s="4" t="n">
        <v>12</v>
      </c>
      <c r="B16" s="4" t="inlineStr">
        <is>
          <t>SH012</t>
        </is>
      </c>
      <c r="C16" s="5" t="inlineStr">
        <is>
          <t>Villa Riverside #12</t>
        </is>
      </c>
      <c r="D16" s="4" t="inlineStr">
        <is>
          <t>Nhà phố</t>
        </is>
      </c>
      <c r="E16" s="6" t="n">
        <v>14200000000</v>
      </c>
      <c r="F16" s="4" t="inlineStr">
        <is>
          <t>MG01</t>
        </is>
      </c>
      <c r="G16" s="7">
        <f>VLOOKUP(F16, BangTraCuu!$A$3:$C$6, 3, FALSE)</f>
        <v/>
      </c>
      <c r="H16" s="6">
        <f>E16*G16</f>
        <v/>
      </c>
    </row>
    <row r="17">
      <c r="A17" s="4" t="n">
        <v>13</v>
      </c>
      <c r="B17" s="4" t="inlineStr">
        <is>
          <t>SH013</t>
        </is>
      </c>
      <c r="C17" s="5" t="inlineStr">
        <is>
          <t>Golden King Tower #13</t>
        </is>
      </c>
      <c r="D17" s="4" t="inlineStr">
        <is>
          <t>Biệt thự</t>
        </is>
      </c>
      <c r="E17" s="6" t="n">
        <v>16600000000</v>
      </c>
      <c r="F17" s="4" t="inlineStr">
        <is>
          <t>MG03</t>
        </is>
      </c>
      <c r="G17" s="7">
        <f>VLOOKUP(F17, BangTraCuu!$A$3:$C$6, 3, FALSE)</f>
        <v/>
      </c>
      <c r="H17" s="6">
        <f>E17*G17</f>
        <v/>
      </c>
    </row>
    <row r="18">
      <c r="A18" s="4" t="n">
        <v>14</v>
      </c>
      <c r="B18" s="4" t="inlineStr">
        <is>
          <t>SH014</t>
        </is>
      </c>
      <c r="C18" s="5" t="inlineStr">
        <is>
          <t>Diamond Park Plaza #14</t>
        </is>
      </c>
      <c r="D18" s="4" t="inlineStr">
        <is>
          <t>Nhà phố</t>
        </is>
      </c>
      <c r="E18" s="6" t="n">
        <v>11700000000</v>
      </c>
      <c r="F18" s="4" t="inlineStr">
        <is>
          <t>MG02</t>
        </is>
      </c>
      <c r="G18" s="7">
        <f>VLOOKUP(F18, BangTraCuu!$A$3:$C$6, 3, FALSE)</f>
        <v/>
      </c>
      <c r="H18" s="6">
        <f>E18*G18</f>
        <v/>
      </c>
    </row>
    <row r="19">
      <c r="A19" s="4" t="n">
        <v>15</v>
      </c>
      <c r="B19" s="4" t="inlineStr">
        <is>
          <t>SH015</t>
        </is>
      </c>
      <c r="C19" s="5" t="inlineStr">
        <is>
          <t>Saigon Pearl Unit #15</t>
        </is>
      </c>
      <c r="D19" s="4" t="inlineStr">
        <is>
          <t>Biệt thự</t>
        </is>
      </c>
      <c r="E19" s="6" t="n">
        <v>3600000000</v>
      </c>
      <c r="F19" s="4" t="inlineStr">
        <is>
          <t>MG02</t>
        </is>
      </c>
      <c r="G19" s="7">
        <f>VLOOKUP(F19, BangTraCuu!$A$3:$C$6, 3, FALSE)</f>
        <v/>
      </c>
      <c r="H19" s="6">
        <f>E19*G19</f>
        <v/>
      </c>
    </row>
    <row r="20">
      <c r="A20" s="4" t="n">
        <v>16</v>
      </c>
      <c r="B20" s="4" t="inlineStr">
        <is>
          <t>SH016</t>
        </is>
      </c>
      <c r="C20" s="5" t="inlineStr">
        <is>
          <t>Ocean View Villa #16</t>
        </is>
      </c>
      <c r="D20" s="4" t="inlineStr">
        <is>
          <t>Biệt thự</t>
        </is>
      </c>
      <c r="E20" s="6" t="n">
        <v>8400000000</v>
      </c>
      <c r="F20" s="4" t="inlineStr">
        <is>
          <t>MG01</t>
        </is>
      </c>
      <c r="G20" s="7">
        <f>VLOOKUP(F20, BangTraCuu!$A$3:$C$6, 3, FALSE)</f>
        <v/>
      </c>
      <c r="H20" s="6">
        <f>E20*G20</f>
        <v/>
      </c>
    </row>
    <row r="21">
      <c r="A21" s="4" t="n">
        <v>17</v>
      </c>
      <c r="B21" s="4" t="inlineStr">
        <is>
          <t>SH017</t>
        </is>
      </c>
      <c r="C21" s="5" t="inlineStr">
        <is>
          <t>Golden King Tower #17</t>
        </is>
      </c>
      <c r="D21" s="4" t="inlineStr">
        <is>
          <t>Căn hộ</t>
        </is>
      </c>
      <c r="E21" s="6" t="n">
        <v>14100000000</v>
      </c>
      <c r="F21" s="4" t="inlineStr">
        <is>
          <t>MG03</t>
        </is>
      </c>
      <c r="G21" s="7">
        <f>VLOOKUP(F21, BangTraCuu!$A$3:$C$6, 3, FALSE)</f>
        <v/>
      </c>
      <c r="H21" s="6">
        <f>E21*G21</f>
        <v/>
      </c>
    </row>
    <row r="22">
      <c r="A22" s="4" t="n">
        <v>18</v>
      </c>
      <c r="B22" s="4" t="inlineStr">
        <is>
          <t>SH018</t>
        </is>
      </c>
      <c r="C22" s="5" t="inlineStr">
        <is>
          <t>Green Park House #18</t>
        </is>
      </c>
      <c r="D22" s="4" t="inlineStr">
        <is>
          <t>Căn hộ</t>
        </is>
      </c>
      <c r="E22" s="6" t="n">
        <v>11500000000</v>
      </c>
      <c r="F22" s="4" t="inlineStr">
        <is>
          <t>MG02</t>
        </is>
      </c>
      <c r="G22" s="7">
        <f>VLOOKUP(F22, BangTraCuu!$A$3:$C$6, 3, FALSE)</f>
        <v/>
      </c>
      <c r="H22" s="6">
        <f>E22*G22</f>
        <v/>
      </c>
    </row>
    <row r="23">
      <c r="A23" s="4" t="n">
        <v>19</v>
      </c>
      <c r="B23" s="4" t="inlineStr">
        <is>
          <t>SH019</t>
        </is>
      </c>
      <c r="C23" s="5" t="inlineStr">
        <is>
          <t>Diamond Park Plaza #19</t>
        </is>
      </c>
      <c r="D23" s="4" t="inlineStr">
        <is>
          <t>Căn hộ</t>
        </is>
      </c>
      <c r="E23" s="6" t="n">
        <v>19900000000</v>
      </c>
      <c r="F23" s="4" t="inlineStr">
        <is>
          <t>MG01</t>
        </is>
      </c>
      <c r="G23" s="7">
        <f>VLOOKUP(F23, BangTraCuu!$A$3:$C$6, 3, FALSE)</f>
        <v/>
      </c>
      <c r="H23" s="6">
        <f>E23*G23</f>
        <v/>
      </c>
    </row>
    <row r="24">
      <c r="A24" s="4" t="n">
        <v>20</v>
      </c>
      <c r="B24" s="4" t="inlineStr">
        <is>
          <t>SH020</t>
        </is>
      </c>
      <c r="C24" s="5" t="inlineStr">
        <is>
          <t>Dragon Hill Villa #20</t>
        </is>
      </c>
      <c r="D24" s="4" t="inlineStr">
        <is>
          <t>Nhà phố</t>
        </is>
      </c>
      <c r="E24" s="6" t="n">
        <v>6800000000</v>
      </c>
      <c r="F24" s="4" t="inlineStr">
        <is>
          <t>MG02</t>
        </is>
      </c>
      <c r="G24" s="7">
        <f>VLOOKUP(F24, BangTraCuu!$A$3:$C$6, 3, FALSE)</f>
        <v/>
      </c>
      <c r="H24" s="6">
        <f>E24*G24</f>
        <v/>
      </c>
    </row>
    <row r="25">
      <c r="A25" s="4" t="n">
        <v>21</v>
      </c>
      <c r="B25" s="4" t="inlineStr">
        <is>
          <t>SH021</t>
        </is>
      </c>
      <c r="C25" s="5" t="inlineStr">
        <is>
          <t>Green Park House #21</t>
        </is>
      </c>
      <c r="D25" s="4" t="inlineStr">
        <is>
          <t>Căn hộ</t>
        </is>
      </c>
      <c r="E25" s="6" t="n">
        <v>12200000000</v>
      </c>
      <c r="F25" s="4" t="inlineStr">
        <is>
          <t>MG03</t>
        </is>
      </c>
      <c r="G25" s="7">
        <f>VLOOKUP(F25, BangTraCuu!$A$3:$C$6, 3, FALSE)</f>
        <v/>
      </c>
      <c r="H25" s="6">
        <f>E25*G25</f>
        <v/>
      </c>
    </row>
    <row r="26">
      <c r="A26" s="4" t="n">
        <v>22</v>
      </c>
      <c r="B26" s="4" t="inlineStr">
        <is>
          <t>SH022</t>
        </is>
      </c>
      <c r="C26" s="5" t="inlineStr">
        <is>
          <t>Diamond Park Plaza #22</t>
        </is>
      </c>
      <c r="D26" s="4" t="inlineStr">
        <is>
          <t>Nhà phố</t>
        </is>
      </c>
      <c r="E26" s="6" t="n">
        <v>16700000000</v>
      </c>
      <c r="F26" s="4" t="inlineStr">
        <is>
          <t>MG02</t>
        </is>
      </c>
      <c r="G26" s="7">
        <f>VLOOKUP(F26, BangTraCuu!$A$3:$C$6, 3, FALSE)</f>
        <v/>
      </c>
      <c r="H26" s="6">
        <f>E26*G26</f>
        <v/>
      </c>
    </row>
    <row r="27">
      <c r="A27" s="4" t="n">
        <v>23</v>
      </c>
      <c r="B27" s="4" t="inlineStr">
        <is>
          <t>SH023</t>
        </is>
      </c>
      <c r="C27" s="5" t="inlineStr">
        <is>
          <t>Diamond Park Plaza #23</t>
        </is>
      </c>
      <c r="D27" s="4" t="inlineStr">
        <is>
          <t>Căn hộ</t>
        </is>
      </c>
      <c r="E27" s="6" t="n">
        <v>3900000000</v>
      </c>
      <c r="F27" s="4" t="inlineStr">
        <is>
          <t>MG02</t>
        </is>
      </c>
      <c r="G27" s="7">
        <f>VLOOKUP(F27, BangTraCuu!$A$3:$C$6, 3, FALSE)</f>
        <v/>
      </c>
      <c r="H27" s="6">
        <f>E27*G27</f>
        <v/>
      </c>
    </row>
    <row r="28">
      <c r="A28" s="4" t="n">
        <v>24</v>
      </c>
      <c r="B28" s="4" t="inlineStr">
        <is>
          <t>SH024</t>
        </is>
      </c>
      <c r="C28" s="5" t="inlineStr">
        <is>
          <t>Villa Riverside #24</t>
        </is>
      </c>
      <c r="D28" s="4" t="inlineStr">
        <is>
          <t>Căn hộ</t>
        </is>
      </c>
      <c r="E28" s="6" t="n">
        <v>12700000000</v>
      </c>
      <c r="F28" s="4" t="inlineStr">
        <is>
          <t>MG03</t>
        </is>
      </c>
      <c r="G28" s="7">
        <f>VLOOKUP(F28, BangTraCuu!$A$3:$C$6, 3, FALSE)</f>
        <v/>
      </c>
      <c r="H28" s="6">
        <f>E28*G28</f>
        <v/>
      </c>
    </row>
    <row r="29">
      <c r="A29" s="4" t="n">
        <v>25</v>
      </c>
      <c r="B29" s="4" t="inlineStr">
        <is>
          <t>SH025</t>
        </is>
      </c>
      <c r="C29" s="5" t="inlineStr">
        <is>
          <t>Sunrise Apartment #25</t>
        </is>
      </c>
      <c r="D29" s="4" t="inlineStr">
        <is>
          <t>Biệt thự</t>
        </is>
      </c>
      <c r="E29" s="6" t="n">
        <v>17000000000</v>
      </c>
      <c r="F29" s="4" t="inlineStr">
        <is>
          <t>MG03</t>
        </is>
      </c>
      <c r="G29" s="7">
        <f>VLOOKUP(F29, BangTraCuu!$A$3:$C$6, 3, FALSE)</f>
        <v/>
      </c>
      <c r="H29" s="6">
        <f>E29*G29</f>
        <v/>
      </c>
    </row>
    <row r="30">
      <c r="A30" s="4" t="n">
        <v>26</v>
      </c>
      <c r="B30" s="4" t="inlineStr">
        <is>
          <t>SH026</t>
        </is>
      </c>
      <c r="C30" s="5" t="inlineStr">
        <is>
          <t>Skyline Apartment #26</t>
        </is>
      </c>
      <c r="D30" s="4" t="inlineStr">
        <is>
          <t>Nhà phố</t>
        </is>
      </c>
      <c r="E30" s="6" t="n">
        <v>15200000000</v>
      </c>
      <c r="F30" s="4" t="inlineStr">
        <is>
          <t>MG04</t>
        </is>
      </c>
      <c r="G30" s="7">
        <f>VLOOKUP(F30, BangTraCuu!$A$3:$C$6, 3, FALSE)</f>
        <v/>
      </c>
      <c r="H30" s="6">
        <f>E30*G30</f>
        <v/>
      </c>
    </row>
    <row r="31">
      <c r="A31" s="4" t="n">
        <v>27</v>
      </c>
      <c r="B31" s="4" t="inlineStr">
        <is>
          <t>SH027</t>
        </is>
      </c>
      <c r="C31" s="5" t="inlineStr">
        <is>
          <t>Diamond Park Plaza #27</t>
        </is>
      </c>
      <c r="D31" s="4" t="inlineStr">
        <is>
          <t>Căn hộ</t>
        </is>
      </c>
      <c r="E31" s="6" t="n">
        <v>6100000000</v>
      </c>
      <c r="F31" s="4" t="inlineStr">
        <is>
          <t>MG03</t>
        </is>
      </c>
      <c r="G31" s="7">
        <f>VLOOKUP(F31, BangTraCuu!$A$3:$C$6, 3, FALSE)</f>
        <v/>
      </c>
      <c r="H31" s="6">
        <f>E31*G31</f>
        <v/>
      </c>
    </row>
    <row r="32">
      <c r="A32" s="4" t="n">
        <v>28</v>
      </c>
      <c r="B32" s="4" t="inlineStr">
        <is>
          <t>SH028</t>
        </is>
      </c>
      <c r="C32" s="5" t="inlineStr">
        <is>
          <t>Green Park House #28</t>
        </is>
      </c>
      <c r="D32" s="4" t="inlineStr">
        <is>
          <t>Biệt thự</t>
        </is>
      </c>
      <c r="E32" s="6" t="n">
        <v>16800000000</v>
      </c>
      <c r="F32" s="4" t="inlineStr">
        <is>
          <t>MG03</t>
        </is>
      </c>
      <c r="G32" s="7">
        <f>VLOOKUP(F32, BangTraCuu!$A$3:$C$6, 3, FALSE)</f>
        <v/>
      </c>
      <c r="H32" s="6">
        <f>E32*G32</f>
        <v/>
      </c>
    </row>
    <row r="33">
      <c r="A33" s="4" t="n">
        <v>29</v>
      </c>
      <c r="B33" s="4" t="inlineStr">
        <is>
          <t>SH029</t>
        </is>
      </c>
      <c r="C33" s="5" t="inlineStr">
        <is>
          <t>Saigon Pearl Unit #29</t>
        </is>
      </c>
      <c r="D33" s="4" t="inlineStr">
        <is>
          <t>Nhà phố</t>
        </is>
      </c>
      <c r="E33" s="6" t="n">
        <v>13400000000</v>
      </c>
      <c r="F33" s="4" t="inlineStr">
        <is>
          <t>MG04</t>
        </is>
      </c>
      <c r="G33" s="7">
        <f>VLOOKUP(F33, BangTraCuu!$A$3:$C$6, 3, FALSE)</f>
        <v/>
      </c>
      <c r="H33" s="6">
        <f>E33*G33</f>
        <v/>
      </c>
    </row>
    <row r="34">
      <c r="A34" s="4" t="n">
        <v>30</v>
      </c>
      <c r="B34" s="4" t="inlineStr">
        <is>
          <t>SH030</t>
        </is>
      </c>
      <c r="C34" s="5" t="inlineStr">
        <is>
          <t>Central House #30</t>
        </is>
      </c>
      <c r="D34" s="4" t="inlineStr">
        <is>
          <t>Biệt thự</t>
        </is>
      </c>
      <c r="E34" s="6" t="n">
        <v>6000000000</v>
      </c>
      <c r="F34" s="4" t="inlineStr">
        <is>
          <t>MG04</t>
        </is>
      </c>
      <c r="G34" s="7">
        <f>VLOOKUP(F34, BangTraCuu!$A$3:$C$6, 3, FALSE)</f>
        <v/>
      </c>
      <c r="H34" s="6">
        <f>E34*G34</f>
        <v/>
      </c>
    </row>
    <row r="35">
      <c r="A35" s="4" t="n">
        <v>31</v>
      </c>
      <c r="B35" s="4" t="inlineStr">
        <is>
          <t>SH031</t>
        </is>
      </c>
      <c r="C35" s="5" t="inlineStr">
        <is>
          <t>Sunrise Apartment #31</t>
        </is>
      </c>
      <c r="D35" s="4" t="inlineStr">
        <is>
          <t>Biệt thự</t>
        </is>
      </c>
      <c r="E35" s="6" t="n">
        <v>5300000000</v>
      </c>
      <c r="F35" s="4" t="inlineStr">
        <is>
          <t>MG02</t>
        </is>
      </c>
      <c r="G35" s="7">
        <f>VLOOKUP(F35, BangTraCuu!$A$3:$C$6, 3, FALSE)</f>
        <v/>
      </c>
      <c r="H35" s="6">
        <f>E35*G35</f>
        <v/>
      </c>
    </row>
    <row r="36">
      <c r="A36" s="4" t="n">
        <v>32</v>
      </c>
      <c r="B36" s="4" t="inlineStr">
        <is>
          <t>SH032</t>
        </is>
      </c>
      <c r="C36" s="5" t="inlineStr">
        <is>
          <t>Diamond Park Plaza #32</t>
        </is>
      </c>
      <c r="D36" s="4" t="inlineStr">
        <is>
          <t>Biệt thự</t>
        </is>
      </c>
      <c r="E36" s="6" t="n">
        <v>19900000000</v>
      </c>
      <c r="F36" s="4" t="inlineStr">
        <is>
          <t>MG04</t>
        </is>
      </c>
      <c r="G36" s="7">
        <f>VLOOKUP(F36, BangTraCuu!$A$3:$C$6, 3, FALSE)</f>
        <v/>
      </c>
      <c r="H36" s="6">
        <f>E36*G36</f>
        <v/>
      </c>
    </row>
    <row r="37">
      <c r="A37" s="4" t="n">
        <v>33</v>
      </c>
      <c r="B37" s="4" t="inlineStr">
        <is>
          <t>SH033</t>
        </is>
      </c>
      <c r="C37" s="5" t="inlineStr">
        <is>
          <t>Dragon Hill Villa #33</t>
        </is>
      </c>
      <c r="D37" s="4" t="inlineStr">
        <is>
          <t>Biệt thự</t>
        </is>
      </c>
      <c r="E37" s="6" t="n">
        <v>12300000000</v>
      </c>
      <c r="F37" s="4" t="inlineStr">
        <is>
          <t>MG04</t>
        </is>
      </c>
      <c r="G37" s="7">
        <f>VLOOKUP(F37, BangTraCuu!$A$3:$C$6, 3, FALSE)</f>
        <v/>
      </c>
      <c r="H37" s="6">
        <f>E37*G37</f>
        <v/>
      </c>
    </row>
    <row r="38">
      <c r="A38" s="4" t="n">
        <v>34</v>
      </c>
      <c r="B38" s="4" t="inlineStr">
        <is>
          <t>SH034</t>
        </is>
      </c>
      <c r="C38" s="5" t="inlineStr">
        <is>
          <t>Dragon Hill Villa #34</t>
        </is>
      </c>
      <c r="D38" s="4" t="inlineStr">
        <is>
          <t>Căn hộ</t>
        </is>
      </c>
      <c r="E38" s="6" t="n">
        <v>16000000000</v>
      </c>
      <c r="F38" s="4" t="inlineStr">
        <is>
          <t>MG03</t>
        </is>
      </c>
      <c r="G38" s="7">
        <f>VLOOKUP(F38, BangTraCuu!$A$3:$C$6, 3, FALSE)</f>
        <v/>
      </c>
      <c r="H38" s="6">
        <f>E38*G38</f>
        <v/>
      </c>
    </row>
    <row r="39">
      <c r="A39" s="4" t="n">
        <v>35</v>
      </c>
      <c r="B39" s="4" t="inlineStr">
        <is>
          <t>SH035</t>
        </is>
      </c>
      <c r="C39" s="5" t="inlineStr">
        <is>
          <t>Eco Green City #35</t>
        </is>
      </c>
      <c r="D39" s="4" t="inlineStr">
        <is>
          <t>Biệt thự</t>
        </is>
      </c>
      <c r="E39" s="6" t="n">
        <v>19900000000</v>
      </c>
      <c r="F39" s="4" t="inlineStr">
        <is>
          <t>MG01</t>
        </is>
      </c>
      <c r="G39" s="7">
        <f>VLOOKUP(F39, BangTraCuu!$A$3:$C$6, 3, FALSE)</f>
        <v/>
      </c>
      <c r="H39" s="6">
        <f>E39*G39</f>
        <v/>
      </c>
    </row>
    <row r="40">
      <c r="A40" s="4" t="n">
        <v>36</v>
      </c>
      <c r="B40" s="4" t="inlineStr">
        <is>
          <t>SH036</t>
        </is>
      </c>
      <c r="C40" s="5" t="inlineStr">
        <is>
          <t>Diamond Park Plaza #36</t>
        </is>
      </c>
      <c r="D40" s="4" t="inlineStr">
        <is>
          <t>Nhà phố</t>
        </is>
      </c>
      <c r="E40" s="6" t="n">
        <v>9300000000</v>
      </c>
      <c r="F40" s="4" t="inlineStr">
        <is>
          <t>MG03</t>
        </is>
      </c>
      <c r="G40" s="7">
        <f>VLOOKUP(F40, BangTraCuu!$A$3:$C$6, 3, FALSE)</f>
        <v/>
      </c>
      <c r="H40" s="6">
        <f>E40*G40</f>
        <v/>
      </c>
    </row>
    <row r="41">
      <c r="A41" s="4" t="n">
        <v>37</v>
      </c>
      <c r="B41" s="4" t="inlineStr">
        <is>
          <t>SH037</t>
        </is>
      </c>
      <c r="C41" s="5" t="inlineStr">
        <is>
          <t>Sunrise Apartment #37</t>
        </is>
      </c>
      <c r="D41" s="4" t="inlineStr">
        <is>
          <t>Căn hộ</t>
        </is>
      </c>
      <c r="E41" s="6" t="n">
        <v>13600000000</v>
      </c>
      <c r="F41" s="4" t="inlineStr">
        <is>
          <t>MG02</t>
        </is>
      </c>
      <c r="G41" s="7">
        <f>VLOOKUP(F41, BangTraCuu!$A$3:$C$6, 3, FALSE)</f>
        <v/>
      </c>
      <c r="H41" s="6">
        <f>E41*G41</f>
        <v/>
      </c>
    </row>
    <row r="42">
      <c r="A42" s="4" t="n">
        <v>38</v>
      </c>
      <c r="B42" s="4" t="inlineStr">
        <is>
          <t>SH038</t>
        </is>
      </c>
      <c r="C42" s="5" t="inlineStr">
        <is>
          <t>Imperial Suite #38</t>
        </is>
      </c>
      <c r="D42" s="4" t="inlineStr">
        <is>
          <t>Biệt thự</t>
        </is>
      </c>
      <c r="E42" s="6" t="n">
        <v>9200000000</v>
      </c>
      <c r="F42" s="4" t="inlineStr">
        <is>
          <t>MG02</t>
        </is>
      </c>
      <c r="G42" s="7">
        <f>VLOOKUP(F42, BangTraCuu!$A$3:$C$6, 3, FALSE)</f>
        <v/>
      </c>
      <c r="H42" s="6">
        <f>E42*G42</f>
        <v/>
      </c>
    </row>
    <row r="43">
      <c r="A43" s="4" t="n">
        <v>39</v>
      </c>
      <c r="B43" s="4" t="inlineStr">
        <is>
          <t>SH039</t>
        </is>
      </c>
      <c r="C43" s="5" t="inlineStr">
        <is>
          <t>Eco Green City #39</t>
        </is>
      </c>
      <c r="D43" s="4" t="inlineStr">
        <is>
          <t>Biệt thự</t>
        </is>
      </c>
      <c r="E43" s="6" t="n">
        <v>18500000000</v>
      </c>
      <c r="F43" s="4" t="inlineStr">
        <is>
          <t>MG03</t>
        </is>
      </c>
      <c r="G43" s="7">
        <f>VLOOKUP(F43, BangTraCuu!$A$3:$C$6, 3, FALSE)</f>
        <v/>
      </c>
      <c r="H43" s="6">
        <f>E43*G43</f>
        <v/>
      </c>
    </row>
    <row r="44">
      <c r="A44" s="4" t="n">
        <v>40</v>
      </c>
      <c r="B44" s="4" t="inlineStr">
        <is>
          <t>SH040</t>
        </is>
      </c>
      <c r="C44" s="5" t="inlineStr">
        <is>
          <t>Diamond Park Plaza #40</t>
        </is>
      </c>
      <c r="D44" s="4" t="inlineStr">
        <is>
          <t>Nhà phố</t>
        </is>
      </c>
      <c r="E44" s="6" t="n">
        <v>18000000000</v>
      </c>
      <c r="F44" s="4" t="inlineStr">
        <is>
          <t>MG02</t>
        </is>
      </c>
      <c r="G44" s="7">
        <f>VLOOKUP(F44, BangTraCuu!$A$3:$C$6, 3, FALSE)</f>
        <v/>
      </c>
      <c r="H44" s="6">
        <f>E44*G44</f>
        <v/>
      </c>
    </row>
    <row r="45">
      <c r="A45" s="4" t="n">
        <v>41</v>
      </c>
      <c r="B45" s="4" t="inlineStr">
        <is>
          <t>SH041</t>
        </is>
      </c>
      <c r="C45" s="5" t="inlineStr">
        <is>
          <t>Green Park House #41</t>
        </is>
      </c>
      <c r="D45" s="4" t="inlineStr">
        <is>
          <t>Căn hộ</t>
        </is>
      </c>
      <c r="E45" s="6" t="n">
        <v>6600000000</v>
      </c>
      <c r="F45" s="4" t="inlineStr">
        <is>
          <t>MG01</t>
        </is>
      </c>
      <c r="G45" s="7">
        <f>VLOOKUP(F45, BangTraCuu!$A$3:$C$6, 3, FALSE)</f>
        <v/>
      </c>
      <c r="H45" s="6">
        <f>E45*G45</f>
        <v/>
      </c>
    </row>
    <row r="46">
      <c r="A46" s="4" t="n">
        <v>42</v>
      </c>
      <c r="B46" s="4" t="inlineStr">
        <is>
          <t>SH042</t>
        </is>
      </c>
      <c r="C46" s="5" t="inlineStr">
        <is>
          <t>Dragon Hill Villa #42</t>
        </is>
      </c>
      <c r="D46" s="4" t="inlineStr">
        <is>
          <t>Căn hộ</t>
        </is>
      </c>
      <c r="E46" s="6" t="n">
        <v>15000000000</v>
      </c>
      <c r="F46" s="4" t="inlineStr">
        <is>
          <t>MG01</t>
        </is>
      </c>
      <c r="G46" s="7">
        <f>VLOOKUP(F46, BangTraCuu!$A$3:$C$6, 3, FALSE)</f>
        <v/>
      </c>
      <c r="H46" s="6">
        <f>E46*G46</f>
        <v/>
      </c>
    </row>
    <row r="47">
      <c r="A47" s="4" t="n">
        <v>43</v>
      </c>
      <c r="B47" s="4" t="inlineStr">
        <is>
          <t>SH043</t>
        </is>
      </c>
      <c r="C47" s="5" t="inlineStr">
        <is>
          <t>Sunrise Apartment #43</t>
        </is>
      </c>
      <c r="D47" s="4" t="inlineStr">
        <is>
          <t>Căn hộ</t>
        </is>
      </c>
      <c r="E47" s="6" t="n">
        <v>10300000000</v>
      </c>
      <c r="F47" s="4" t="inlineStr">
        <is>
          <t>MG02</t>
        </is>
      </c>
      <c r="G47" s="7">
        <f>VLOOKUP(F47, BangTraCuu!$A$3:$C$6, 3, FALSE)</f>
        <v/>
      </c>
      <c r="H47" s="6">
        <f>E47*G47</f>
        <v/>
      </c>
    </row>
    <row r="48">
      <c r="A48" s="4" t="n">
        <v>44</v>
      </c>
      <c r="B48" s="4" t="inlineStr">
        <is>
          <t>SH044</t>
        </is>
      </c>
      <c r="C48" s="5" t="inlineStr">
        <is>
          <t>Villa Riverside #44</t>
        </is>
      </c>
      <c r="D48" s="4" t="inlineStr">
        <is>
          <t>Biệt thự</t>
        </is>
      </c>
      <c r="E48" s="6" t="n">
        <v>17000000000</v>
      </c>
      <c r="F48" s="4" t="inlineStr">
        <is>
          <t>MG01</t>
        </is>
      </c>
      <c r="G48" s="7">
        <f>VLOOKUP(F48, BangTraCuu!$A$3:$C$6, 3, FALSE)</f>
        <v/>
      </c>
      <c r="H48" s="6">
        <f>E48*G48</f>
        <v/>
      </c>
    </row>
    <row r="49">
      <c r="A49" s="4" t="n">
        <v>45</v>
      </c>
      <c r="B49" s="4" t="inlineStr">
        <is>
          <t>SH045</t>
        </is>
      </c>
      <c r="C49" s="5" t="inlineStr">
        <is>
          <t>Sunrise Apartment #45</t>
        </is>
      </c>
      <c r="D49" s="4" t="inlineStr">
        <is>
          <t>Nhà phố</t>
        </is>
      </c>
      <c r="E49" s="6" t="n">
        <v>14900000000</v>
      </c>
      <c r="F49" s="4" t="inlineStr">
        <is>
          <t>MG01</t>
        </is>
      </c>
      <c r="G49" s="7">
        <f>VLOOKUP(F49, BangTraCuu!$A$3:$C$6, 3, FALSE)</f>
        <v/>
      </c>
      <c r="H49" s="6">
        <f>E49*G49</f>
        <v/>
      </c>
    </row>
    <row r="50">
      <c r="A50" s="4" t="n">
        <v>46</v>
      </c>
      <c r="B50" s="4" t="inlineStr">
        <is>
          <t>SH046</t>
        </is>
      </c>
      <c r="C50" s="5" t="inlineStr">
        <is>
          <t>Eco Green City #46</t>
        </is>
      </c>
      <c r="D50" s="4" t="inlineStr">
        <is>
          <t>Biệt thự</t>
        </is>
      </c>
      <c r="E50" s="6" t="n">
        <v>5700000000</v>
      </c>
      <c r="F50" s="4" t="inlineStr">
        <is>
          <t>MG04</t>
        </is>
      </c>
      <c r="G50" s="7">
        <f>VLOOKUP(F50, BangTraCuu!$A$3:$C$6, 3, FALSE)</f>
        <v/>
      </c>
      <c r="H50" s="6">
        <f>E50*G50</f>
        <v/>
      </c>
    </row>
    <row r="51">
      <c r="A51" s="4" t="n">
        <v>47</v>
      </c>
      <c r="B51" s="4" t="inlineStr">
        <is>
          <t>SH047</t>
        </is>
      </c>
      <c r="C51" s="5" t="inlineStr">
        <is>
          <t>Eco Green City #47</t>
        </is>
      </c>
      <c r="D51" s="4" t="inlineStr">
        <is>
          <t>Biệt thự</t>
        </is>
      </c>
      <c r="E51" s="6" t="n">
        <v>9200000000</v>
      </c>
      <c r="F51" s="4" t="inlineStr">
        <is>
          <t>MG04</t>
        </is>
      </c>
      <c r="G51" s="7">
        <f>VLOOKUP(F51, BangTraCuu!$A$3:$C$6, 3, FALSE)</f>
        <v/>
      </c>
      <c r="H51" s="6">
        <f>E51*G51</f>
        <v/>
      </c>
    </row>
    <row r="52">
      <c r="A52" s="4" t="n">
        <v>48</v>
      </c>
      <c r="B52" s="4" t="inlineStr">
        <is>
          <t>SH048</t>
        </is>
      </c>
      <c r="C52" s="5" t="inlineStr">
        <is>
          <t>Skyline Apartment #48</t>
        </is>
      </c>
      <c r="D52" s="4" t="inlineStr">
        <is>
          <t>Nhà phố</t>
        </is>
      </c>
      <c r="E52" s="6" t="n">
        <v>7600000000</v>
      </c>
      <c r="F52" s="4" t="inlineStr">
        <is>
          <t>MG03</t>
        </is>
      </c>
      <c r="G52" s="7">
        <f>VLOOKUP(F52, BangTraCuu!$A$3:$C$6, 3, FALSE)</f>
        <v/>
      </c>
      <c r="H52" s="6">
        <f>E52*G52</f>
        <v/>
      </c>
    </row>
    <row r="53">
      <c r="A53" s="4" t="n">
        <v>49</v>
      </c>
      <c r="B53" s="4" t="inlineStr">
        <is>
          <t>SH049</t>
        </is>
      </c>
      <c r="C53" s="5" t="inlineStr">
        <is>
          <t>Golden King Tower #49</t>
        </is>
      </c>
      <c r="D53" s="4" t="inlineStr">
        <is>
          <t>Nhà phố</t>
        </is>
      </c>
      <c r="E53" s="6" t="n">
        <v>19100000000</v>
      </c>
      <c r="F53" s="4" t="inlineStr">
        <is>
          <t>MG03</t>
        </is>
      </c>
      <c r="G53" s="7">
        <f>VLOOKUP(F53, BangTraCuu!$A$3:$C$6, 3, FALSE)</f>
        <v/>
      </c>
      <c r="H53" s="6">
        <f>E53*G53</f>
        <v/>
      </c>
    </row>
    <row r="54">
      <c r="A54" s="4" t="n">
        <v>50</v>
      </c>
      <c r="B54" s="4" t="inlineStr">
        <is>
          <t>SH050</t>
        </is>
      </c>
      <c r="C54" s="5" t="inlineStr">
        <is>
          <t>Imperial Suite #50</t>
        </is>
      </c>
      <c r="D54" s="4" t="inlineStr">
        <is>
          <t>Nhà phố</t>
        </is>
      </c>
      <c r="E54" s="6" t="n">
        <v>14000000000</v>
      </c>
      <c r="F54" s="4" t="inlineStr">
        <is>
          <t>MG01</t>
        </is>
      </c>
      <c r="G54" s="7">
        <f>VLOOKUP(F54, BangTraCuu!$A$3:$C$6, 3, FALSE)</f>
        <v/>
      </c>
      <c r="H54" s="6">
        <f>E54*G54</f>
        <v/>
      </c>
    </row>
    <row r="55">
      <c r="A55" s="4" t="n">
        <v>51</v>
      </c>
      <c r="B55" s="4" t="inlineStr">
        <is>
          <t>SH051</t>
        </is>
      </c>
      <c r="C55" s="5" t="inlineStr">
        <is>
          <t>Skyline Apartment #51</t>
        </is>
      </c>
      <c r="D55" s="4" t="inlineStr">
        <is>
          <t>Biệt thự</t>
        </is>
      </c>
      <c r="E55" s="6" t="n">
        <v>4100000000</v>
      </c>
      <c r="F55" s="4" t="inlineStr">
        <is>
          <t>MG03</t>
        </is>
      </c>
      <c r="G55" s="7">
        <f>VLOOKUP(F55, BangTraCuu!$A$3:$C$6, 3, FALSE)</f>
        <v/>
      </c>
      <c r="H55" s="6">
        <f>E55*G55</f>
        <v/>
      </c>
    </row>
    <row r="56">
      <c r="A56" s="4" t="n">
        <v>52</v>
      </c>
      <c r="B56" s="4" t="inlineStr">
        <is>
          <t>SH052</t>
        </is>
      </c>
      <c r="C56" s="5" t="inlineStr">
        <is>
          <t>Villa Riverside #52</t>
        </is>
      </c>
      <c r="D56" s="4" t="inlineStr">
        <is>
          <t>Nhà phố</t>
        </is>
      </c>
      <c r="E56" s="6" t="n">
        <v>16600000000</v>
      </c>
      <c r="F56" s="4" t="inlineStr">
        <is>
          <t>MG02</t>
        </is>
      </c>
      <c r="G56" s="7">
        <f>VLOOKUP(F56, BangTraCuu!$A$3:$C$6, 3, FALSE)</f>
        <v/>
      </c>
      <c r="H56" s="6">
        <f>E56*G56</f>
        <v/>
      </c>
    </row>
    <row r="57">
      <c r="A57" s="4" t="n">
        <v>53</v>
      </c>
      <c r="B57" s="4" t="inlineStr">
        <is>
          <t>SH053</t>
        </is>
      </c>
      <c r="C57" s="5" t="inlineStr">
        <is>
          <t>Dragon Hill Villa #53</t>
        </is>
      </c>
      <c r="D57" s="4" t="inlineStr">
        <is>
          <t>Biệt thự</t>
        </is>
      </c>
      <c r="E57" s="6" t="n">
        <v>2600000000</v>
      </c>
      <c r="F57" s="4" t="inlineStr">
        <is>
          <t>MG01</t>
        </is>
      </c>
      <c r="G57" s="7">
        <f>VLOOKUP(F57, BangTraCuu!$A$3:$C$6, 3, FALSE)</f>
        <v/>
      </c>
      <c r="H57" s="6">
        <f>E57*G57</f>
        <v/>
      </c>
    </row>
    <row r="58">
      <c r="A58" s="4" t="n">
        <v>54</v>
      </c>
      <c r="B58" s="4" t="inlineStr">
        <is>
          <t>SH054</t>
        </is>
      </c>
      <c r="C58" s="5" t="inlineStr">
        <is>
          <t>Saigon Pearl Unit #54</t>
        </is>
      </c>
      <c r="D58" s="4" t="inlineStr">
        <is>
          <t>Nhà phố</t>
        </is>
      </c>
      <c r="E58" s="6" t="n">
        <v>4000000000</v>
      </c>
      <c r="F58" s="4" t="inlineStr">
        <is>
          <t>MG02</t>
        </is>
      </c>
      <c r="G58" s="7">
        <f>VLOOKUP(F58, BangTraCuu!$A$3:$C$6, 3, FALSE)</f>
        <v/>
      </c>
      <c r="H58" s="6">
        <f>E58*G58</f>
        <v/>
      </c>
    </row>
    <row r="59">
      <c r="A59" s="4" t="n">
        <v>55</v>
      </c>
      <c r="B59" s="4" t="inlineStr">
        <is>
          <t>SH055</t>
        </is>
      </c>
      <c r="C59" s="5" t="inlineStr">
        <is>
          <t>Sunrise Apartment #55</t>
        </is>
      </c>
      <c r="D59" s="4" t="inlineStr">
        <is>
          <t>Biệt thự</t>
        </is>
      </c>
      <c r="E59" s="6" t="n">
        <v>10900000000</v>
      </c>
      <c r="F59" s="4" t="inlineStr">
        <is>
          <t>MG01</t>
        </is>
      </c>
      <c r="G59" s="7">
        <f>VLOOKUP(F59, BangTraCuu!$A$3:$C$6, 3, FALSE)</f>
        <v/>
      </c>
      <c r="H59" s="6">
        <f>E59*G59</f>
        <v/>
      </c>
    </row>
    <row r="60">
      <c r="A60" s="4" t="n">
        <v>56</v>
      </c>
      <c r="B60" s="4" t="inlineStr">
        <is>
          <t>SH056</t>
        </is>
      </c>
      <c r="C60" s="5" t="inlineStr">
        <is>
          <t>Eco Green City #56</t>
        </is>
      </c>
      <c r="D60" s="4" t="inlineStr">
        <is>
          <t>Biệt thự</t>
        </is>
      </c>
      <c r="E60" s="6" t="n">
        <v>9600000000</v>
      </c>
      <c r="F60" s="4" t="inlineStr">
        <is>
          <t>MG04</t>
        </is>
      </c>
      <c r="G60" s="7">
        <f>VLOOKUP(F60, BangTraCuu!$A$3:$C$6, 3, FALSE)</f>
        <v/>
      </c>
      <c r="H60" s="6">
        <f>E60*G60</f>
        <v/>
      </c>
    </row>
    <row r="61">
      <c r="A61" s="4" t="n">
        <v>57</v>
      </c>
      <c r="B61" s="4" t="inlineStr">
        <is>
          <t>SH057</t>
        </is>
      </c>
      <c r="C61" s="5" t="inlineStr">
        <is>
          <t>Skyline Apartment #57</t>
        </is>
      </c>
      <c r="D61" s="4" t="inlineStr">
        <is>
          <t>Nhà phố</t>
        </is>
      </c>
      <c r="E61" s="6" t="n">
        <v>5800000000</v>
      </c>
      <c r="F61" s="4" t="inlineStr">
        <is>
          <t>MG04</t>
        </is>
      </c>
      <c r="G61" s="7">
        <f>VLOOKUP(F61, BangTraCuu!$A$3:$C$6, 3, FALSE)</f>
        <v/>
      </c>
      <c r="H61" s="6">
        <f>E61*G61</f>
        <v/>
      </c>
    </row>
    <row r="62">
      <c r="A62" s="4" t="n">
        <v>58</v>
      </c>
      <c r="B62" s="4" t="inlineStr">
        <is>
          <t>SH058</t>
        </is>
      </c>
      <c r="C62" s="5" t="inlineStr">
        <is>
          <t>Skyline Apartment #58</t>
        </is>
      </c>
      <c r="D62" s="4" t="inlineStr">
        <is>
          <t>Căn hộ</t>
        </is>
      </c>
      <c r="E62" s="6" t="n">
        <v>12900000000</v>
      </c>
      <c r="F62" s="4" t="inlineStr">
        <is>
          <t>MG02</t>
        </is>
      </c>
      <c r="G62" s="7">
        <f>VLOOKUP(F62, BangTraCuu!$A$3:$C$6, 3, FALSE)</f>
        <v/>
      </c>
      <c r="H62" s="6">
        <f>E62*G62</f>
        <v/>
      </c>
    </row>
    <row r="63">
      <c r="A63" s="4" t="n">
        <v>59</v>
      </c>
      <c r="B63" s="4" t="inlineStr">
        <is>
          <t>SH059</t>
        </is>
      </c>
      <c r="C63" s="5" t="inlineStr">
        <is>
          <t>Sunrise Apartment #59</t>
        </is>
      </c>
      <c r="D63" s="4" t="inlineStr">
        <is>
          <t>Biệt thự</t>
        </is>
      </c>
      <c r="E63" s="6" t="n">
        <v>19300000000</v>
      </c>
      <c r="F63" s="4" t="inlineStr">
        <is>
          <t>MG04</t>
        </is>
      </c>
      <c r="G63" s="7">
        <f>VLOOKUP(F63, BangTraCuu!$A$3:$C$6, 3, FALSE)</f>
        <v/>
      </c>
      <c r="H63" s="6">
        <f>E63*G63</f>
        <v/>
      </c>
    </row>
    <row r="64">
      <c r="A64" s="4" t="n">
        <v>60</v>
      </c>
      <c r="B64" s="4" t="inlineStr">
        <is>
          <t>SH060</t>
        </is>
      </c>
      <c r="C64" s="5" t="inlineStr">
        <is>
          <t>Central House #60</t>
        </is>
      </c>
      <c r="D64" s="4" t="inlineStr">
        <is>
          <t>Căn hộ</t>
        </is>
      </c>
      <c r="E64" s="6" t="n">
        <v>13000000000</v>
      </c>
      <c r="F64" s="4" t="inlineStr">
        <is>
          <t>MG04</t>
        </is>
      </c>
      <c r="G64" s="7">
        <f>VLOOKUP(F64, BangTraCuu!$A$3:$C$6, 3, FALSE)</f>
        <v/>
      </c>
      <c r="H64" s="6">
        <f>E64*G64</f>
        <v/>
      </c>
    </row>
    <row r="65">
      <c r="A65" s="4" t="n">
        <v>61</v>
      </c>
      <c r="B65" s="4" t="inlineStr">
        <is>
          <t>SH061</t>
        </is>
      </c>
      <c r="C65" s="5" t="inlineStr">
        <is>
          <t>Saigon Pearl Unit #61</t>
        </is>
      </c>
      <c r="D65" s="4" t="inlineStr">
        <is>
          <t>Biệt thự</t>
        </is>
      </c>
      <c r="E65" s="6" t="n">
        <v>19700000000</v>
      </c>
      <c r="F65" s="4" t="inlineStr">
        <is>
          <t>MG01</t>
        </is>
      </c>
      <c r="G65" s="7">
        <f>VLOOKUP(F65, BangTraCuu!$A$3:$C$6, 3, FALSE)</f>
        <v/>
      </c>
      <c r="H65" s="6">
        <f>E65*G65</f>
        <v/>
      </c>
    </row>
    <row r="66">
      <c r="A66" s="4" t="n">
        <v>62</v>
      </c>
      <c r="B66" s="4" t="inlineStr">
        <is>
          <t>SH062</t>
        </is>
      </c>
      <c r="C66" s="5" t="inlineStr">
        <is>
          <t>Villa Riverside #62</t>
        </is>
      </c>
      <c r="D66" s="4" t="inlineStr">
        <is>
          <t>Căn hộ</t>
        </is>
      </c>
      <c r="E66" s="6" t="n">
        <v>11100000000</v>
      </c>
      <c r="F66" s="4" t="inlineStr">
        <is>
          <t>MG01</t>
        </is>
      </c>
      <c r="G66" s="7">
        <f>VLOOKUP(F66, BangTraCuu!$A$3:$C$6, 3, FALSE)</f>
        <v/>
      </c>
      <c r="H66" s="6">
        <f>E66*G66</f>
        <v/>
      </c>
    </row>
    <row r="67">
      <c r="A67" s="4" t="n">
        <v>63</v>
      </c>
      <c r="B67" s="4" t="inlineStr">
        <is>
          <t>SH063</t>
        </is>
      </c>
      <c r="C67" s="5" t="inlineStr">
        <is>
          <t>Skyline Apartment #63</t>
        </is>
      </c>
      <c r="D67" s="4" t="inlineStr">
        <is>
          <t>Biệt thự</t>
        </is>
      </c>
      <c r="E67" s="6" t="n">
        <v>7300000000</v>
      </c>
      <c r="F67" s="4" t="inlineStr">
        <is>
          <t>MG04</t>
        </is>
      </c>
      <c r="G67" s="7">
        <f>VLOOKUP(F67, BangTraCuu!$A$3:$C$6, 3, FALSE)</f>
        <v/>
      </c>
      <c r="H67" s="6">
        <f>E67*G67</f>
        <v/>
      </c>
    </row>
    <row r="68">
      <c r="A68" s="4" t="n">
        <v>64</v>
      </c>
      <c r="B68" s="4" t="inlineStr">
        <is>
          <t>SH064</t>
        </is>
      </c>
      <c r="C68" s="5" t="inlineStr">
        <is>
          <t>Green Park House #64</t>
        </is>
      </c>
      <c r="D68" s="4" t="inlineStr">
        <is>
          <t>Căn hộ</t>
        </is>
      </c>
      <c r="E68" s="6" t="n">
        <v>7100000000</v>
      </c>
      <c r="F68" s="4" t="inlineStr">
        <is>
          <t>MG03</t>
        </is>
      </c>
      <c r="G68" s="7">
        <f>VLOOKUP(F68, BangTraCuu!$A$3:$C$6, 3, FALSE)</f>
        <v/>
      </c>
      <c r="H68" s="6">
        <f>E68*G68</f>
        <v/>
      </c>
    </row>
    <row r="69">
      <c r="A69" s="4" t="n">
        <v>65</v>
      </c>
      <c r="B69" s="4" t="inlineStr">
        <is>
          <t>SH065</t>
        </is>
      </c>
      <c r="C69" s="5" t="inlineStr">
        <is>
          <t>Imperial Suite #65</t>
        </is>
      </c>
      <c r="D69" s="4" t="inlineStr">
        <is>
          <t>Biệt thự</t>
        </is>
      </c>
      <c r="E69" s="6" t="n">
        <v>4400000000</v>
      </c>
      <c r="F69" s="4" t="inlineStr">
        <is>
          <t>MG04</t>
        </is>
      </c>
      <c r="G69" s="7">
        <f>VLOOKUP(F69, BangTraCuu!$A$3:$C$6, 3, FALSE)</f>
        <v/>
      </c>
      <c r="H69" s="6">
        <f>E69*G69</f>
        <v/>
      </c>
    </row>
    <row r="70">
      <c r="A70" s="4" t="n">
        <v>66</v>
      </c>
      <c r="B70" s="4" t="inlineStr">
        <is>
          <t>SH066</t>
        </is>
      </c>
      <c r="C70" s="5" t="inlineStr">
        <is>
          <t>Eco Green City #66</t>
        </is>
      </c>
      <c r="D70" s="4" t="inlineStr">
        <is>
          <t>Biệt thự</t>
        </is>
      </c>
      <c r="E70" s="6" t="n">
        <v>3700000000</v>
      </c>
      <c r="F70" s="4" t="inlineStr">
        <is>
          <t>MG01</t>
        </is>
      </c>
      <c r="G70" s="7">
        <f>VLOOKUP(F70, BangTraCuu!$A$3:$C$6, 3, FALSE)</f>
        <v/>
      </c>
      <c r="H70" s="6">
        <f>E70*G70</f>
        <v/>
      </c>
    </row>
    <row r="71">
      <c r="A71" s="4" t="n">
        <v>67</v>
      </c>
      <c r="B71" s="4" t="inlineStr">
        <is>
          <t>SH067</t>
        </is>
      </c>
      <c r="C71" s="5" t="inlineStr">
        <is>
          <t>Sunrise Apartment #67</t>
        </is>
      </c>
      <c r="D71" s="4" t="inlineStr">
        <is>
          <t>Biệt thự</t>
        </is>
      </c>
      <c r="E71" s="6" t="n">
        <v>6700000000</v>
      </c>
      <c r="F71" s="4" t="inlineStr">
        <is>
          <t>MG04</t>
        </is>
      </c>
      <c r="G71" s="7">
        <f>VLOOKUP(F71, BangTraCuu!$A$3:$C$6, 3, FALSE)</f>
        <v/>
      </c>
      <c r="H71" s="6">
        <f>E71*G71</f>
        <v/>
      </c>
    </row>
    <row r="72">
      <c r="A72" s="4" t="n">
        <v>68</v>
      </c>
      <c r="B72" s="4" t="inlineStr">
        <is>
          <t>SH068</t>
        </is>
      </c>
      <c r="C72" s="5" t="inlineStr">
        <is>
          <t>Imperial Suite #68</t>
        </is>
      </c>
      <c r="D72" s="4" t="inlineStr">
        <is>
          <t>Căn hộ</t>
        </is>
      </c>
      <c r="E72" s="6" t="n">
        <v>7900000000</v>
      </c>
      <c r="F72" s="4" t="inlineStr">
        <is>
          <t>MG04</t>
        </is>
      </c>
      <c r="G72" s="7">
        <f>VLOOKUP(F72, BangTraCuu!$A$3:$C$6, 3, FALSE)</f>
        <v/>
      </c>
      <c r="H72" s="6">
        <f>E72*G72</f>
        <v/>
      </c>
    </row>
    <row r="73">
      <c r="A73" s="4" t="n">
        <v>69</v>
      </c>
      <c r="B73" s="4" t="inlineStr">
        <is>
          <t>SH069</t>
        </is>
      </c>
      <c r="C73" s="5" t="inlineStr">
        <is>
          <t>Villa Riverside #69</t>
        </is>
      </c>
      <c r="D73" s="4" t="inlineStr">
        <is>
          <t>Biệt thự</t>
        </is>
      </c>
      <c r="E73" s="6" t="n">
        <v>12200000000</v>
      </c>
      <c r="F73" s="4" t="inlineStr">
        <is>
          <t>MG01</t>
        </is>
      </c>
      <c r="G73" s="7">
        <f>VLOOKUP(F73, BangTraCuu!$A$3:$C$6, 3, FALSE)</f>
        <v/>
      </c>
      <c r="H73" s="6">
        <f>E73*G73</f>
        <v/>
      </c>
    </row>
    <row r="74">
      <c r="A74" s="4" t="n">
        <v>70</v>
      </c>
      <c r="B74" s="4" t="inlineStr">
        <is>
          <t>SH070</t>
        </is>
      </c>
      <c r="C74" s="5" t="inlineStr">
        <is>
          <t>Golden King Tower #70</t>
        </is>
      </c>
      <c r="D74" s="4" t="inlineStr">
        <is>
          <t>Căn hộ</t>
        </is>
      </c>
      <c r="E74" s="6" t="n">
        <v>14100000000</v>
      </c>
      <c r="F74" s="4" t="inlineStr">
        <is>
          <t>MG03</t>
        </is>
      </c>
      <c r="G74" s="7">
        <f>VLOOKUP(F74, BangTraCuu!$A$3:$C$6, 3, FALSE)</f>
        <v/>
      </c>
      <c r="H74" s="6">
        <f>E74*G74</f>
        <v/>
      </c>
    </row>
    <row r="75">
      <c r="A75" s="4" t="n">
        <v>71</v>
      </c>
      <c r="B75" s="4" t="inlineStr">
        <is>
          <t>SH071</t>
        </is>
      </c>
      <c r="C75" s="5" t="inlineStr">
        <is>
          <t>Golden King Tower #71</t>
        </is>
      </c>
      <c r="D75" s="4" t="inlineStr">
        <is>
          <t>Nhà phố</t>
        </is>
      </c>
      <c r="E75" s="6" t="n">
        <v>16700000000</v>
      </c>
      <c r="F75" s="4" t="inlineStr">
        <is>
          <t>MG04</t>
        </is>
      </c>
      <c r="G75" s="7">
        <f>VLOOKUP(F75, BangTraCuu!$A$3:$C$6, 3, FALSE)</f>
        <v/>
      </c>
      <c r="H75" s="6">
        <f>E75*G75</f>
        <v/>
      </c>
    </row>
    <row r="76">
      <c r="A76" s="4" t="n">
        <v>72</v>
      </c>
      <c r="B76" s="4" t="inlineStr">
        <is>
          <t>SH072</t>
        </is>
      </c>
      <c r="C76" s="5" t="inlineStr">
        <is>
          <t>Green Park House #72</t>
        </is>
      </c>
      <c r="D76" s="4" t="inlineStr">
        <is>
          <t>Biệt thự</t>
        </is>
      </c>
      <c r="E76" s="6" t="n">
        <v>10000000000</v>
      </c>
      <c r="F76" s="4" t="inlineStr">
        <is>
          <t>MG02</t>
        </is>
      </c>
      <c r="G76" s="7">
        <f>VLOOKUP(F76, BangTraCuu!$A$3:$C$6, 3, FALSE)</f>
        <v/>
      </c>
      <c r="H76" s="6">
        <f>E76*G76</f>
        <v/>
      </c>
    </row>
    <row r="77">
      <c r="A77" s="4" t="n">
        <v>73</v>
      </c>
      <c r="B77" s="4" t="inlineStr">
        <is>
          <t>SH073</t>
        </is>
      </c>
      <c r="C77" s="5" t="inlineStr">
        <is>
          <t>Villa Riverside #73</t>
        </is>
      </c>
      <c r="D77" s="4" t="inlineStr">
        <is>
          <t>Nhà phố</t>
        </is>
      </c>
      <c r="E77" s="6" t="n">
        <v>16300000000</v>
      </c>
      <c r="F77" s="4" t="inlineStr">
        <is>
          <t>MG01</t>
        </is>
      </c>
      <c r="G77" s="7">
        <f>VLOOKUP(F77, BangTraCuu!$A$3:$C$6, 3, FALSE)</f>
        <v/>
      </c>
      <c r="H77" s="6">
        <f>E77*G77</f>
        <v/>
      </c>
    </row>
    <row r="78">
      <c r="A78" s="4" t="n">
        <v>74</v>
      </c>
      <c r="B78" s="4" t="inlineStr">
        <is>
          <t>SH074</t>
        </is>
      </c>
      <c r="C78" s="5" t="inlineStr">
        <is>
          <t>Saigon Pearl Unit #74</t>
        </is>
      </c>
      <c r="D78" s="4" t="inlineStr">
        <is>
          <t>Căn hộ</t>
        </is>
      </c>
      <c r="E78" s="6" t="n">
        <v>3900000000</v>
      </c>
      <c r="F78" s="4" t="inlineStr">
        <is>
          <t>MG01</t>
        </is>
      </c>
      <c r="G78" s="7">
        <f>VLOOKUP(F78, BangTraCuu!$A$3:$C$6, 3, FALSE)</f>
        <v/>
      </c>
      <c r="H78" s="6">
        <f>E78*G78</f>
        <v/>
      </c>
    </row>
    <row r="79">
      <c r="A79" s="4" t="n">
        <v>75</v>
      </c>
      <c r="B79" s="4" t="inlineStr">
        <is>
          <t>SH075</t>
        </is>
      </c>
      <c r="C79" s="5" t="inlineStr">
        <is>
          <t>Dragon Hill Villa #75</t>
        </is>
      </c>
      <c r="D79" s="4" t="inlineStr">
        <is>
          <t>Căn hộ</t>
        </is>
      </c>
      <c r="E79" s="6" t="n">
        <v>15300000000</v>
      </c>
      <c r="F79" s="4" t="inlineStr">
        <is>
          <t>MG02</t>
        </is>
      </c>
      <c r="G79" s="7">
        <f>VLOOKUP(F79, BangTraCuu!$A$3:$C$6, 3, FALSE)</f>
        <v/>
      </c>
      <c r="H79" s="6">
        <f>E79*G79</f>
        <v/>
      </c>
    </row>
    <row r="80">
      <c r="A80" s="4" t="n">
        <v>76</v>
      </c>
      <c r="B80" s="4" t="inlineStr">
        <is>
          <t>SH076</t>
        </is>
      </c>
      <c r="C80" s="5" t="inlineStr">
        <is>
          <t>Villa Riverside #76</t>
        </is>
      </c>
      <c r="D80" s="4" t="inlineStr">
        <is>
          <t>Nhà phố</t>
        </is>
      </c>
      <c r="E80" s="6" t="n">
        <v>4500000000</v>
      </c>
      <c r="F80" s="4" t="inlineStr">
        <is>
          <t>MG02</t>
        </is>
      </c>
      <c r="G80" s="7">
        <f>VLOOKUP(F80, BangTraCuu!$A$3:$C$6, 3, FALSE)</f>
        <v/>
      </c>
      <c r="H80" s="6">
        <f>E80*G80</f>
        <v/>
      </c>
    </row>
    <row r="81">
      <c r="A81" s="4" t="n">
        <v>77</v>
      </c>
      <c r="B81" s="4" t="inlineStr">
        <is>
          <t>SH077</t>
        </is>
      </c>
      <c r="C81" s="5" t="inlineStr">
        <is>
          <t>Sunrise Apartment #77</t>
        </is>
      </c>
      <c r="D81" s="4" t="inlineStr">
        <is>
          <t>Nhà phố</t>
        </is>
      </c>
      <c r="E81" s="6" t="n">
        <v>4200000000</v>
      </c>
      <c r="F81" s="4" t="inlineStr">
        <is>
          <t>MG02</t>
        </is>
      </c>
      <c r="G81" s="7">
        <f>VLOOKUP(F81, BangTraCuu!$A$3:$C$6, 3, FALSE)</f>
        <v/>
      </c>
      <c r="H81" s="6">
        <f>E81*G81</f>
        <v/>
      </c>
    </row>
    <row r="82">
      <c r="A82" s="4" t="n">
        <v>78</v>
      </c>
      <c r="B82" s="4" t="inlineStr">
        <is>
          <t>SH078</t>
        </is>
      </c>
      <c r="C82" s="5" t="inlineStr">
        <is>
          <t>Golden King Tower #78</t>
        </is>
      </c>
      <c r="D82" s="4" t="inlineStr">
        <is>
          <t>Biệt thự</t>
        </is>
      </c>
      <c r="E82" s="6" t="n">
        <v>17000000000</v>
      </c>
      <c r="F82" s="4" t="inlineStr">
        <is>
          <t>MG02</t>
        </is>
      </c>
      <c r="G82" s="7">
        <f>VLOOKUP(F82, BangTraCuu!$A$3:$C$6, 3, FALSE)</f>
        <v/>
      </c>
      <c r="H82" s="6">
        <f>E82*G82</f>
        <v/>
      </c>
    </row>
    <row r="83">
      <c r="A83" s="4" t="n">
        <v>79</v>
      </c>
      <c r="B83" s="4" t="inlineStr">
        <is>
          <t>SH079</t>
        </is>
      </c>
      <c r="C83" s="5" t="inlineStr">
        <is>
          <t>Dragon Hill Villa #79</t>
        </is>
      </c>
      <c r="D83" s="4" t="inlineStr">
        <is>
          <t>Nhà phố</t>
        </is>
      </c>
      <c r="E83" s="6" t="n">
        <v>3500000000</v>
      </c>
      <c r="F83" s="4" t="inlineStr">
        <is>
          <t>MG01</t>
        </is>
      </c>
      <c r="G83" s="7">
        <f>VLOOKUP(F83, BangTraCuu!$A$3:$C$6, 3, FALSE)</f>
        <v/>
      </c>
      <c r="H83" s="6">
        <f>E83*G83</f>
        <v/>
      </c>
    </row>
    <row r="84">
      <c r="A84" s="4" t="n">
        <v>80</v>
      </c>
      <c r="B84" s="4" t="inlineStr">
        <is>
          <t>SH080</t>
        </is>
      </c>
      <c r="C84" s="5" t="inlineStr">
        <is>
          <t>Golden King Tower #80</t>
        </is>
      </c>
      <c r="D84" s="4" t="inlineStr">
        <is>
          <t>Nhà phố</t>
        </is>
      </c>
      <c r="E84" s="6" t="n">
        <v>17400000000</v>
      </c>
      <c r="F84" s="4" t="inlineStr">
        <is>
          <t>MG03</t>
        </is>
      </c>
      <c r="G84" s="7">
        <f>VLOOKUP(F84, BangTraCuu!$A$3:$C$6, 3, FALSE)</f>
        <v/>
      </c>
      <c r="H84" s="6">
        <f>E84*G84</f>
        <v/>
      </c>
    </row>
    <row r="85">
      <c r="A85" s="4" t="n">
        <v>81</v>
      </c>
      <c r="B85" s="4" t="inlineStr">
        <is>
          <t>SH081</t>
        </is>
      </c>
      <c r="C85" s="5" t="inlineStr">
        <is>
          <t>Ocean View Villa #81</t>
        </is>
      </c>
      <c r="D85" s="4" t="inlineStr">
        <is>
          <t>Biệt thự</t>
        </is>
      </c>
      <c r="E85" s="6" t="n">
        <v>19600000000</v>
      </c>
      <c r="F85" s="4" t="inlineStr">
        <is>
          <t>MG03</t>
        </is>
      </c>
      <c r="G85" s="7">
        <f>VLOOKUP(F85, BangTraCuu!$A$3:$C$6, 3, FALSE)</f>
        <v/>
      </c>
      <c r="H85" s="6">
        <f>E85*G85</f>
        <v/>
      </c>
    </row>
    <row r="86">
      <c r="A86" s="4" t="n">
        <v>82</v>
      </c>
      <c r="B86" s="4" t="inlineStr">
        <is>
          <t>SH082</t>
        </is>
      </c>
      <c r="C86" s="5" t="inlineStr">
        <is>
          <t>Skyline Apartment #82</t>
        </is>
      </c>
      <c r="D86" s="4" t="inlineStr">
        <is>
          <t>Căn hộ</t>
        </is>
      </c>
      <c r="E86" s="6" t="n">
        <v>12600000000</v>
      </c>
      <c r="F86" s="4" t="inlineStr">
        <is>
          <t>MG02</t>
        </is>
      </c>
      <c r="G86" s="7">
        <f>VLOOKUP(F86, BangTraCuu!$A$3:$C$6, 3, FALSE)</f>
        <v/>
      </c>
      <c r="H86" s="6">
        <f>E86*G86</f>
        <v/>
      </c>
    </row>
    <row r="87">
      <c r="A87" s="4" t="n">
        <v>83</v>
      </c>
      <c r="B87" s="4" t="inlineStr">
        <is>
          <t>SH083</t>
        </is>
      </c>
      <c r="C87" s="5" t="inlineStr">
        <is>
          <t>Diamond Park Plaza #83</t>
        </is>
      </c>
      <c r="D87" s="4" t="inlineStr">
        <is>
          <t>Nhà phố</t>
        </is>
      </c>
      <c r="E87" s="6" t="n">
        <v>10100000000</v>
      </c>
      <c r="F87" s="4" t="inlineStr">
        <is>
          <t>MG04</t>
        </is>
      </c>
      <c r="G87" s="7">
        <f>VLOOKUP(F87, BangTraCuu!$A$3:$C$6, 3, FALSE)</f>
        <v/>
      </c>
      <c r="H87" s="6">
        <f>E87*G87</f>
        <v/>
      </c>
    </row>
    <row r="88">
      <c r="A88" s="4" t="n">
        <v>84</v>
      </c>
      <c r="B88" s="4" t="inlineStr">
        <is>
          <t>SH084</t>
        </is>
      </c>
      <c r="C88" s="5" t="inlineStr">
        <is>
          <t>Central House #84</t>
        </is>
      </c>
      <c r="D88" s="4" t="inlineStr">
        <is>
          <t>Biệt thự</t>
        </is>
      </c>
      <c r="E88" s="6" t="n">
        <v>2700000000</v>
      </c>
      <c r="F88" s="4" t="inlineStr">
        <is>
          <t>MG04</t>
        </is>
      </c>
      <c r="G88" s="7">
        <f>VLOOKUP(F88, BangTraCuu!$A$3:$C$6, 3, FALSE)</f>
        <v/>
      </c>
      <c r="H88" s="6">
        <f>E88*G88</f>
        <v/>
      </c>
    </row>
    <row r="89">
      <c r="A89" s="4" t="n">
        <v>85</v>
      </c>
      <c r="B89" s="4" t="inlineStr">
        <is>
          <t>SH085</t>
        </is>
      </c>
      <c r="C89" s="5" t="inlineStr">
        <is>
          <t>Dragon Hill Villa #85</t>
        </is>
      </c>
      <c r="D89" s="4" t="inlineStr">
        <is>
          <t>Nhà phố</t>
        </is>
      </c>
      <c r="E89" s="6" t="n">
        <v>5000000000</v>
      </c>
      <c r="F89" s="4" t="inlineStr">
        <is>
          <t>MG01</t>
        </is>
      </c>
      <c r="G89" s="7">
        <f>VLOOKUP(F89, BangTraCuu!$A$3:$C$6, 3, FALSE)</f>
        <v/>
      </c>
      <c r="H89" s="6">
        <f>E89*G89</f>
        <v/>
      </c>
    </row>
    <row r="90">
      <c r="A90" s="4" t="n">
        <v>86</v>
      </c>
      <c r="B90" s="4" t="inlineStr">
        <is>
          <t>SH086</t>
        </is>
      </c>
      <c r="C90" s="5" t="inlineStr">
        <is>
          <t>Eco Green City #86</t>
        </is>
      </c>
      <c r="D90" s="4" t="inlineStr">
        <is>
          <t>Biệt thự</t>
        </is>
      </c>
      <c r="E90" s="6" t="n">
        <v>15400000000</v>
      </c>
      <c r="F90" s="4" t="inlineStr">
        <is>
          <t>MG03</t>
        </is>
      </c>
      <c r="G90" s="7">
        <f>VLOOKUP(F90, BangTraCuu!$A$3:$C$6, 3, FALSE)</f>
        <v/>
      </c>
      <c r="H90" s="6">
        <f>E90*G90</f>
        <v/>
      </c>
    </row>
    <row r="91">
      <c r="A91" s="4" t="n">
        <v>87</v>
      </c>
      <c r="B91" s="4" t="inlineStr">
        <is>
          <t>SH087</t>
        </is>
      </c>
      <c r="C91" s="5" t="inlineStr">
        <is>
          <t>Green Park House #87</t>
        </is>
      </c>
      <c r="D91" s="4" t="inlineStr">
        <is>
          <t>Căn hộ</t>
        </is>
      </c>
      <c r="E91" s="6" t="n">
        <v>4200000000</v>
      </c>
      <c r="F91" s="4" t="inlineStr">
        <is>
          <t>MG02</t>
        </is>
      </c>
      <c r="G91" s="7">
        <f>VLOOKUP(F91, BangTraCuu!$A$3:$C$6, 3, FALSE)</f>
        <v/>
      </c>
      <c r="H91" s="6">
        <f>E91*G91</f>
        <v/>
      </c>
    </row>
    <row r="92">
      <c r="A92" s="4" t="n">
        <v>88</v>
      </c>
      <c r="B92" s="4" t="inlineStr">
        <is>
          <t>SH088</t>
        </is>
      </c>
      <c r="C92" s="5" t="inlineStr">
        <is>
          <t>Central House #88</t>
        </is>
      </c>
      <c r="D92" s="4" t="inlineStr">
        <is>
          <t>Căn hộ</t>
        </is>
      </c>
      <c r="E92" s="6" t="n">
        <v>6500000000</v>
      </c>
      <c r="F92" s="4" t="inlineStr">
        <is>
          <t>MG04</t>
        </is>
      </c>
      <c r="G92" s="7">
        <f>VLOOKUP(F92, BangTraCuu!$A$3:$C$6, 3, FALSE)</f>
        <v/>
      </c>
      <c r="H92" s="6">
        <f>E92*G92</f>
        <v/>
      </c>
    </row>
    <row r="93">
      <c r="A93" s="4" t="n">
        <v>89</v>
      </c>
      <c r="B93" s="4" t="inlineStr">
        <is>
          <t>SH089</t>
        </is>
      </c>
      <c r="C93" s="5" t="inlineStr">
        <is>
          <t>Eco Green City #89</t>
        </is>
      </c>
      <c r="D93" s="4" t="inlineStr">
        <is>
          <t>Nhà phố</t>
        </is>
      </c>
      <c r="E93" s="6" t="n">
        <v>10200000000</v>
      </c>
      <c r="F93" s="4" t="inlineStr">
        <is>
          <t>MG01</t>
        </is>
      </c>
      <c r="G93" s="7">
        <f>VLOOKUP(F93, BangTraCuu!$A$3:$C$6, 3, FALSE)</f>
        <v/>
      </c>
      <c r="H93" s="6">
        <f>E93*G93</f>
        <v/>
      </c>
    </row>
    <row r="94">
      <c r="A94" s="4" t="n">
        <v>90</v>
      </c>
      <c r="B94" s="4" t="inlineStr">
        <is>
          <t>SH090</t>
        </is>
      </c>
      <c r="C94" s="5" t="inlineStr">
        <is>
          <t>Diamond Park Plaza #90</t>
        </is>
      </c>
      <c r="D94" s="4" t="inlineStr">
        <is>
          <t>Nhà phố</t>
        </is>
      </c>
      <c r="E94" s="6" t="n">
        <v>10100000000</v>
      </c>
      <c r="F94" s="4" t="inlineStr">
        <is>
          <t>MG01</t>
        </is>
      </c>
      <c r="G94" s="7">
        <f>VLOOKUP(F94, BangTraCuu!$A$3:$C$6, 3, FALSE)</f>
        <v/>
      </c>
      <c r="H94" s="6">
        <f>E94*G94</f>
        <v/>
      </c>
    </row>
    <row r="95">
      <c r="A95" s="4" t="n">
        <v>91</v>
      </c>
      <c r="B95" s="4" t="inlineStr">
        <is>
          <t>SH091</t>
        </is>
      </c>
      <c r="C95" s="5" t="inlineStr">
        <is>
          <t>Green Park House #91</t>
        </is>
      </c>
      <c r="D95" s="4" t="inlineStr">
        <is>
          <t>Căn hộ</t>
        </is>
      </c>
      <c r="E95" s="6" t="n">
        <v>5400000000</v>
      </c>
      <c r="F95" s="4" t="inlineStr">
        <is>
          <t>MG01</t>
        </is>
      </c>
      <c r="G95" s="7">
        <f>VLOOKUP(F95, BangTraCuu!$A$3:$C$6, 3, FALSE)</f>
        <v/>
      </c>
      <c r="H95" s="6">
        <f>E95*G95</f>
        <v/>
      </c>
    </row>
    <row r="96">
      <c r="A96" s="4" t="n">
        <v>92</v>
      </c>
      <c r="B96" s="4" t="inlineStr">
        <is>
          <t>SH092</t>
        </is>
      </c>
      <c r="C96" s="5" t="inlineStr">
        <is>
          <t>Saigon Pearl Unit #92</t>
        </is>
      </c>
      <c r="D96" s="4" t="inlineStr">
        <is>
          <t>Nhà phố</t>
        </is>
      </c>
      <c r="E96" s="6" t="n">
        <v>6400000000</v>
      </c>
      <c r="F96" s="4" t="inlineStr">
        <is>
          <t>MG03</t>
        </is>
      </c>
      <c r="G96" s="7">
        <f>VLOOKUP(F96, BangTraCuu!$A$3:$C$6, 3, FALSE)</f>
        <v/>
      </c>
      <c r="H96" s="6">
        <f>E96*G96</f>
        <v/>
      </c>
    </row>
    <row r="97">
      <c r="A97" s="4" t="n">
        <v>93</v>
      </c>
      <c r="B97" s="4" t="inlineStr">
        <is>
          <t>SH093</t>
        </is>
      </c>
      <c r="C97" s="5" t="inlineStr">
        <is>
          <t>Ocean View Villa #93</t>
        </is>
      </c>
      <c r="D97" s="4" t="inlineStr">
        <is>
          <t>Nhà phố</t>
        </is>
      </c>
      <c r="E97" s="6" t="n">
        <v>7800000000</v>
      </c>
      <c r="F97" s="4" t="inlineStr">
        <is>
          <t>MG03</t>
        </is>
      </c>
      <c r="G97" s="7">
        <f>VLOOKUP(F97, BangTraCuu!$A$3:$C$6, 3, FALSE)</f>
        <v/>
      </c>
      <c r="H97" s="6">
        <f>E97*G97</f>
        <v/>
      </c>
    </row>
    <row r="98">
      <c r="A98" s="4" t="n">
        <v>94</v>
      </c>
      <c r="B98" s="4" t="inlineStr">
        <is>
          <t>SH094</t>
        </is>
      </c>
      <c r="C98" s="5" t="inlineStr">
        <is>
          <t>Skyline Apartment #94</t>
        </is>
      </c>
      <c r="D98" s="4" t="inlineStr">
        <is>
          <t>Nhà phố</t>
        </is>
      </c>
      <c r="E98" s="6" t="n">
        <v>18700000000</v>
      </c>
      <c r="F98" s="4" t="inlineStr">
        <is>
          <t>MG03</t>
        </is>
      </c>
      <c r="G98" s="7">
        <f>VLOOKUP(F98, BangTraCuu!$A$3:$C$6, 3, FALSE)</f>
        <v/>
      </c>
      <c r="H98" s="6">
        <f>E98*G98</f>
        <v/>
      </c>
    </row>
    <row r="99">
      <c r="A99" s="4" t="n">
        <v>95</v>
      </c>
      <c r="B99" s="4" t="inlineStr">
        <is>
          <t>SH095</t>
        </is>
      </c>
      <c r="C99" s="5" t="inlineStr">
        <is>
          <t>Eco Green City #95</t>
        </is>
      </c>
      <c r="D99" s="4" t="inlineStr">
        <is>
          <t>Căn hộ</t>
        </is>
      </c>
      <c r="E99" s="6" t="n">
        <v>8900000000</v>
      </c>
      <c r="F99" s="4" t="inlineStr">
        <is>
          <t>MG01</t>
        </is>
      </c>
      <c r="G99" s="7">
        <f>VLOOKUP(F99, BangTraCuu!$A$3:$C$6, 3, FALSE)</f>
        <v/>
      </c>
      <c r="H99" s="6">
        <f>E99*G99</f>
        <v/>
      </c>
    </row>
    <row r="100">
      <c r="A100" s="4" t="n">
        <v>96</v>
      </c>
      <c r="B100" s="4" t="inlineStr">
        <is>
          <t>SH096</t>
        </is>
      </c>
      <c r="C100" s="5" t="inlineStr">
        <is>
          <t>Sunrise Apartment #96</t>
        </is>
      </c>
      <c r="D100" s="4" t="inlineStr">
        <is>
          <t>Nhà phố</t>
        </is>
      </c>
      <c r="E100" s="6" t="n">
        <v>13300000000</v>
      </c>
      <c r="F100" s="4" t="inlineStr">
        <is>
          <t>MG03</t>
        </is>
      </c>
      <c r="G100" s="7">
        <f>VLOOKUP(F100, BangTraCuu!$A$3:$C$6, 3, FALSE)</f>
        <v/>
      </c>
      <c r="H100" s="6">
        <f>E100*G100</f>
        <v/>
      </c>
    </row>
    <row r="101">
      <c r="A101" s="4" t="n">
        <v>97</v>
      </c>
      <c r="B101" s="4" t="inlineStr">
        <is>
          <t>SH097</t>
        </is>
      </c>
      <c r="C101" s="5" t="inlineStr">
        <is>
          <t>Villa Riverside #97</t>
        </is>
      </c>
      <c r="D101" s="4" t="inlineStr">
        <is>
          <t>Biệt thự</t>
        </is>
      </c>
      <c r="E101" s="6" t="n">
        <v>11000000000</v>
      </c>
      <c r="F101" s="4" t="inlineStr">
        <is>
          <t>MG02</t>
        </is>
      </c>
      <c r="G101" s="7">
        <f>VLOOKUP(F101, BangTraCuu!$A$3:$C$6, 3, FALSE)</f>
        <v/>
      </c>
      <c r="H101" s="6">
        <f>E101*G101</f>
        <v/>
      </c>
    </row>
    <row r="102">
      <c r="A102" s="4" t="n">
        <v>98</v>
      </c>
      <c r="B102" s="4" t="inlineStr">
        <is>
          <t>SH098</t>
        </is>
      </c>
      <c r="C102" s="5" t="inlineStr">
        <is>
          <t>Diamond Park Plaza #98</t>
        </is>
      </c>
      <c r="D102" s="4" t="inlineStr">
        <is>
          <t>Căn hộ</t>
        </is>
      </c>
      <c r="E102" s="6" t="n">
        <v>6600000000</v>
      </c>
      <c r="F102" s="4" t="inlineStr">
        <is>
          <t>MG04</t>
        </is>
      </c>
      <c r="G102" s="7">
        <f>VLOOKUP(F102, BangTraCuu!$A$3:$C$6, 3, FALSE)</f>
        <v/>
      </c>
      <c r="H102" s="6">
        <f>E102*G102</f>
        <v/>
      </c>
    </row>
    <row r="103">
      <c r="A103" s="4" t="n">
        <v>99</v>
      </c>
      <c r="B103" s="4" t="inlineStr">
        <is>
          <t>SH099</t>
        </is>
      </c>
      <c r="C103" s="5" t="inlineStr">
        <is>
          <t>Eco Green City #99</t>
        </is>
      </c>
      <c r="D103" s="4" t="inlineStr">
        <is>
          <t>Nhà phố</t>
        </is>
      </c>
      <c r="E103" s="6" t="n">
        <v>13400000000</v>
      </c>
      <c r="F103" s="4" t="inlineStr">
        <is>
          <t>MG01</t>
        </is>
      </c>
      <c r="G103" s="7">
        <f>VLOOKUP(F103, BangTraCuu!$A$3:$C$6, 3, FALSE)</f>
        <v/>
      </c>
      <c r="H103" s="6">
        <f>E103*G103</f>
        <v/>
      </c>
    </row>
    <row r="104">
      <c r="A104" s="4" t="n">
        <v>100</v>
      </c>
      <c r="B104" s="4" t="inlineStr">
        <is>
          <t>SH100</t>
        </is>
      </c>
      <c r="C104" s="5" t="inlineStr">
        <is>
          <t>Sunrise Apartment #100</t>
        </is>
      </c>
      <c r="D104" s="4" t="inlineStr">
        <is>
          <t>Biệt thự</t>
        </is>
      </c>
      <c r="E104" s="6" t="n">
        <v>6300000000</v>
      </c>
      <c r="F104" s="4" t="inlineStr">
        <is>
          <t>MG01</t>
        </is>
      </c>
      <c r="G104" s="7">
        <f>VLOOKUP(F104, BangTraCuu!$A$3:$C$6, 3, FALSE)</f>
        <v/>
      </c>
      <c r="H104" s="6">
        <f>E104*G104</f>
        <v/>
      </c>
    </row>
  </sheetData>
  <autoFilter ref="A4:H104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</cols>
  <sheetData>
    <row r="1">
      <c r="A1" s="8" t="inlineStr">
        <is>
          <t>BẢNG TRA CỨU HOA HỒNG MÔI GIỚI</t>
        </is>
      </c>
    </row>
    <row r="2">
      <c r="A2" s="3" t="inlineStr">
        <is>
          <t>Mã MG</t>
        </is>
      </c>
      <c r="B2" s="3" t="inlineStr">
        <is>
          <t>Tên Môi giới</t>
        </is>
      </c>
      <c r="C2" s="3" t="inlineStr">
        <is>
          <t>Tỷ lệ hoa hồng</t>
        </is>
      </c>
    </row>
    <row r="3">
      <c r="A3" s="4" t="inlineStr">
        <is>
          <t>MG01</t>
        </is>
      </c>
      <c r="B3" s="9" t="inlineStr">
        <is>
          <t>Nguyễn Văn An</t>
        </is>
      </c>
      <c r="C3" s="7" t="n">
        <v>0.02</v>
      </c>
    </row>
    <row r="4">
      <c r="A4" s="4" t="inlineStr">
        <is>
          <t>MG02</t>
        </is>
      </c>
      <c r="B4" s="9" t="inlineStr">
        <is>
          <t>Trần Minh</t>
        </is>
      </c>
      <c r="C4" s="7" t="n">
        <v>0.015</v>
      </c>
    </row>
    <row r="5">
      <c r="A5" s="4" t="inlineStr">
        <is>
          <t>MG03</t>
        </is>
      </c>
      <c r="B5" s="9" t="inlineStr">
        <is>
          <t>Lê Hằng</t>
        </is>
      </c>
      <c r="C5" s="7" t="n">
        <v>0.018</v>
      </c>
    </row>
    <row r="6">
      <c r="A6" s="4" t="inlineStr">
        <is>
          <t>MG04</t>
        </is>
      </c>
      <c r="B6" s="9" t="inlineStr">
        <is>
          <t>Phạm Nam</t>
        </is>
      </c>
      <c r="C6" s="7" t="n">
        <v>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2026-10-27T10:53:09Z</dcterms:created>
  <dcterms:modified xmlns:dcterms="http://purl.org/dc/terms/" xmlns:xsi="http://www.w3.org/2001/XMLSchema-instance" xsi:type="dcterms:W3CDTF">2026-10-27T10:53:09Z</dcterms:modified>
</cp:coreProperties>
</file>